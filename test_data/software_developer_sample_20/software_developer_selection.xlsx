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itial Pool" sheetId="2" state="visible" r:id="rId2"/>
    <sheet name="Sample 20" sheetId="3" state="visible" r:id="rId3"/>
    <sheet name="Scoring Rules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rlito"/>
      <sz val="11"/>
    </font>
    <font>
      <name val="Aptos"/>
      <color rgb="FF1F2937"/>
      <sz val="10"/>
    </font>
    <font>
      <name val="Aptos"/>
      <b val="1"/>
      <color rgb="FFFFFFFF"/>
      <sz val="10"/>
    </font>
    <font>
      <name val="Aptos Display"/>
      <b val="1"/>
      <color rgb="FFFFFFFF"/>
      <sz val="14"/>
    </font>
    <font>
      <name val="Aptos"/>
      <b val="1"/>
      <color rgb="FF173F5F"/>
      <sz val="10"/>
    </font>
    <font>
      <name val="Aptos Display"/>
      <b val="1"/>
      <color rgb="FFFFFFFF"/>
      <sz val="18"/>
    </font>
    <font>
      <name val="Aptos"/>
      <b val="1"/>
      <color rgb="FF173F5F"/>
      <sz val="16"/>
    </font>
    <font>
      <name val="Aptos"/>
      <color rgb="FF7C2D12"/>
      <sz val="10"/>
    </font>
  </fonts>
  <fills count="9">
    <fill>
      <patternFill/>
    </fill>
    <fill>
      <patternFill patternType="gray125"/>
    </fill>
    <fill>
      <patternFill patternType="solid">
        <fgColor rgb="FF173F5F"/>
      </patternFill>
    </fill>
    <fill>
      <patternFill patternType="solid">
        <fgColor rgb="FFD9E8F3"/>
      </patternFill>
    </fill>
    <fill>
      <patternFill patternType="solid">
        <fgColor rgb="FFEAF2F8"/>
      </patternFill>
    </fill>
    <fill>
      <patternFill patternType="solid">
        <fgColor rgb="FFF8FAFC"/>
      </patternFill>
    </fill>
    <fill>
      <patternFill patternType="solid">
        <fgColor rgb="FF2F6B8A"/>
      </patternFill>
    </fill>
    <fill>
      <patternFill patternType="solid">
        <fgColor rgb="FFB45309"/>
      </patternFill>
    </fill>
    <fill>
      <patternFill patternType="solid">
        <fgColor rgb="FFFFF7ED"/>
      </patternFill>
    </fill>
  </fills>
  <borders count="33">
    <border/>
    <border>
      <left style="thin">
        <color rgb="FF102F47"/>
      </left>
      <top style="thin">
        <color rgb="FF102F47"/>
      </top>
      <bottom style="thin">
        <color rgb="FF102F47"/>
      </bottom>
    </border>
    <border>
      <top style="thin">
        <color rgb="FF102F47"/>
      </top>
      <bottom style="thin">
        <color rgb="FF102F47"/>
      </bottom>
    </border>
    <border>
      <right style="thin">
        <color rgb="FF102F47"/>
      </right>
      <top style="thin">
        <color rgb="FF102F47"/>
      </top>
      <bottom style="thin">
        <color rgb="FF102F47"/>
      </bottom>
    </border>
    <border>
      <left style="thin">
        <color rgb="FFB8C8D6"/>
      </left>
      <top style="thin">
        <color rgb="FFB8C8D6"/>
      </top>
    </border>
    <border>
      <top style="thin">
        <color rgb="FFB8C8D6"/>
      </top>
    </border>
    <border>
      <right style="thin">
        <color rgb="FFB8C8D6"/>
      </right>
      <top style="thin">
        <color rgb="FFB8C8D6"/>
      </top>
    </border>
    <border>
      <left style="thin">
        <color rgb="FFB8C8D6"/>
      </left>
      <bottom style="thin">
        <color rgb="FFB8C8D6"/>
      </bottom>
    </border>
    <border>
      <bottom style="thin">
        <color rgb="FFB8C8D6"/>
      </bottom>
    </border>
    <border>
      <right style="thin">
        <color rgb="FFB8C8D6"/>
      </right>
      <bottom style="thin">
        <color rgb="FFB8C8D6"/>
      </bottom>
    </border>
    <border>
      <right style="thin">
        <color rgb="FFD8E2EA"/>
      </right>
      <bottom style="thin">
        <color rgb="FFD8E2EA"/>
      </bottom>
    </border>
    <border>
      <left style="thin">
        <color rgb="FFD8E2EA"/>
      </left>
      <right style="thin">
        <color rgb="FFD8E2EA"/>
      </right>
      <bottom style="thin">
        <color rgb="FFD8E2EA"/>
      </bottom>
    </border>
    <border>
      <left style="thin">
        <color rgb="FFD8E2EA"/>
      </left>
      <bottom style="thin">
        <color rgb="FFD8E2EA"/>
      </bottom>
    </border>
    <border>
      <right style="thin">
        <color rgb="FFD8E2EA"/>
      </right>
      <top style="thin">
        <color rgb="FFD8E2EA"/>
      </top>
      <bottom style="thin">
        <color rgb="FFD8E2EA"/>
      </bottom>
    </border>
    <border>
      <left style="thin">
        <color rgb="FFD8E2EA"/>
      </left>
      <right style="thin">
        <color rgb="FFD8E2EA"/>
      </right>
      <top style="thin">
        <color rgb="FFD8E2EA"/>
      </top>
      <bottom style="thin">
        <color rgb="FFD8E2EA"/>
      </bottom>
    </border>
    <border>
      <left style="thin">
        <color rgb="FFD8E2EA"/>
      </left>
      <top style="thin">
        <color rgb="FFD8E2EA"/>
      </top>
      <bottom style="thin">
        <color rgb="FFD8E2EA"/>
      </bottom>
    </border>
    <border>
      <right style="thin">
        <color rgb="FFD8E2EA"/>
      </right>
      <top style="thin">
        <color rgb="FFD8E2EA"/>
      </top>
    </border>
    <border>
      <left style="thin">
        <color rgb="FFD8E2EA"/>
      </left>
      <right style="thin">
        <color rgb="FFD8E2EA"/>
      </right>
      <top style="thin">
        <color rgb="FFD8E2EA"/>
      </top>
    </border>
    <border>
      <left style="thin">
        <color rgb="FFD8E2EA"/>
      </left>
      <top style="thin">
        <color rgb="FFD8E2EA"/>
      </top>
    </border>
    <border>
      <left style="thin">
        <color rgb="FFFDBA74"/>
      </left>
      <top style="thin">
        <color rgb="FFFDBA74"/>
      </top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  <border>
      <left style="thin">
        <color rgb="FFFDBA74"/>
      </left>
    </border>
    <border>
      <right style="thin">
        <color rgb="FFFDBA74"/>
      </right>
    </border>
    <border>
      <left style="thin">
        <color rgb="FFFDBA74"/>
      </left>
      <bottom style="thin">
        <color rgb="FFFDBA74"/>
      </bottom>
    </border>
    <border>
      <bottom style="thin">
        <color rgb="FFFDBA74"/>
      </bottom>
    </border>
    <border>
      <right style="thin">
        <color rgb="FFFDBA74"/>
      </right>
      <bottom style="thin">
        <color rgb="FFFDBA74"/>
      </bottom>
    </border>
    <border>
      <left style="thin">
        <color rgb="FFB8C8D6"/>
      </left>
      <top style="thin">
        <color rgb="FFB8C8D6"/>
      </top>
      <bottom style="thin">
        <color rgb="FFB8C8D6"/>
      </bottom>
    </border>
    <border>
      <left style="thin">
        <color rgb="FFB8C8D6"/>
      </left>
    </border>
    <border>
      <top style="thin">
        <color rgb="FFB8C8D6"/>
      </top>
      <bottom style="thin">
        <color rgb="FFB8C8D6"/>
      </bottom>
    </border>
    <border>
      <right style="thin">
        <color rgb="FFB8C8D6"/>
      </right>
      <top style="thin">
        <color rgb="FFB8C8D6"/>
      </top>
      <bottom style="thin">
        <color rgb="FFB8C8D6"/>
      </bottom>
    </border>
    <border>
      <right style="thin">
        <color rgb="FFB8C8D6"/>
      </right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2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pivotButton="0" quotePrefix="0" xfId="0"/>
    <xf numFmtId="0" fontId="3" fillId="2" borderId="0" pivotButton="0" quotePrefix="0" xfId="0"/>
    <xf numFmtId="0" fontId="1" fillId="3" borderId="0" pivotButton="0" quotePrefix="0" xfId="0"/>
    <xf numFmtId="0" fontId="4" fillId="3" borderId="0" pivotButton="0" quotePrefix="0" xfId="0"/>
    <xf numFmtId="0" fontId="1" fillId="4" borderId="0" pivotButton="0" quotePrefix="0" xfId="0"/>
    <xf numFmtId="0" fontId="4" fillId="4" borderId="0" pivotButton="0" quotePrefix="0" xfId="0"/>
    <xf numFmtId="0" fontId="4" fillId="3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0" fontId="4" fillId="3" borderId="0" applyAlignment="1" pivotButton="0" quotePrefix="0" xfId="0">
      <alignment horizontal="center"/>
    </xf>
    <xf numFmtId="0" fontId="1" fillId="5" borderId="0" pivotButton="0" quotePrefix="0" xfId="0"/>
    <xf numFmtId="0" fontId="6" fillId="5" borderId="0" pivotButton="0" quotePrefix="0" xfId="0"/>
    <xf numFmtId="0" fontId="6" fillId="5" borderId="4" pivotButton="0" quotePrefix="0" xfId="0"/>
    <xf numFmtId="0" fontId="6" fillId="5" borderId="5" pivotButton="0" quotePrefix="0" xfId="0"/>
    <xf numFmtId="0" fontId="6" fillId="5" borderId="6" pivotButton="0" quotePrefix="0" xfId="0"/>
    <xf numFmtId="0" fontId="6" fillId="5" borderId="7" pivotButton="0" quotePrefix="0" xfId="0"/>
    <xf numFmtId="0" fontId="6" fillId="5" borderId="8" pivotButton="0" quotePrefix="0" xfId="0"/>
    <xf numFmtId="0" fontId="6" fillId="5" borderId="9" pivotButton="0" quotePrefix="0" xfId="0"/>
    <xf numFmtId="0" fontId="6" fillId="5" borderId="4" applyAlignment="1" pivotButton="0" quotePrefix="0" xfId="0">
      <alignment wrapText="1"/>
    </xf>
    <xf numFmtId="0" fontId="6" fillId="5" borderId="5" applyAlignment="1" pivotButton="0" quotePrefix="0" xfId="0">
      <alignment wrapText="1"/>
    </xf>
    <xf numFmtId="0" fontId="6" fillId="5" borderId="6" applyAlignment="1" pivotButton="0" quotePrefix="0" xfId="0">
      <alignment wrapText="1"/>
    </xf>
    <xf numFmtId="0" fontId="6" fillId="5" borderId="7" applyAlignment="1" pivotButton="0" quotePrefix="0" xfId="0">
      <alignment wrapText="1"/>
    </xf>
    <xf numFmtId="0" fontId="6" fillId="5" borderId="8" applyAlignment="1" pivotButton="0" quotePrefix="0" xfId="0">
      <alignment wrapText="1"/>
    </xf>
    <xf numFmtId="0" fontId="6" fillId="5" borderId="9" applyAlignment="1" pivotButton="0" quotePrefix="0" xfId="0">
      <alignment wrapText="1"/>
    </xf>
    <xf numFmtId="0" fontId="6" fillId="5" borderId="4" applyAlignment="1" pivotButton="0" quotePrefix="0" xfId="0">
      <alignment horizontal="center" wrapText="1"/>
    </xf>
    <xf numFmtId="0" fontId="6" fillId="5" borderId="5" applyAlignment="1" pivotButton="0" quotePrefix="0" xfId="0">
      <alignment horizontal="center" wrapText="1"/>
    </xf>
    <xf numFmtId="0" fontId="6" fillId="5" borderId="6" applyAlignment="1" pivotButton="0" quotePrefix="0" xfId="0">
      <alignment horizontal="center" wrapText="1"/>
    </xf>
    <xf numFmtId="0" fontId="6" fillId="5" borderId="7" applyAlignment="1" pivotButton="0" quotePrefix="0" xfId="0">
      <alignment horizontal="center" wrapText="1"/>
    </xf>
    <xf numFmtId="0" fontId="6" fillId="5" borderId="8" applyAlignment="1" pivotButton="0" quotePrefix="0" xfId="0">
      <alignment horizontal="center" wrapText="1"/>
    </xf>
    <xf numFmtId="0" fontId="6" fillId="5" borderId="9" applyAlignment="1" pivotButton="0" quotePrefix="0" xfId="0">
      <alignment horizontal="center" wrapText="1"/>
    </xf>
    <xf numFmtId="0" fontId="6" fillId="5" borderId="4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center" vertical="center" wrapText="1"/>
    </xf>
    <xf numFmtId="0" fontId="1" fillId="6" borderId="0" pivotButton="0" quotePrefix="0" xfId="0"/>
    <xf numFmtId="0" fontId="2" fillId="6" borderId="0" pivotButton="0" quotePrefix="0" xfId="0"/>
    <xf numFmtId="0" fontId="1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164" fontId="1" fillId="0" borderId="0" pivotButton="0" quotePrefix="0" xfId="0"/>
    <xf numFmtId="0" fontId="2" fillId="2" borderId="1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2" fillId="2" borderId="12" applyAlignment="1" pivotButton="0" quotePrefix="0" xfId="0">
      <alignment horizontal="center"/>
    </xf>
    <xf numFmtId="0" fontId="1" fillId="0" borderId="13" pivotButton="0" quotePrefix="0" xfId="0"/>
    <xf numFmtId="0" fontId="1" fillId="0" borderId="14" pivotButton="0" quotePrefix="0" xfId="0"/>
    <xf numFmtId="164" fontId="1" fillId="0" borderId="14" pivotButton="0" quotePrefix="0" xfId="0"/>
    <xf numFmtId="164" fontId="1" fillId="0" borderId="15" pivotButton="0" quotePrefix="0" xfId="0"/>
    <xf numFmtId="0" fontId="1" fillId="0" borderId="16" pivotButton="0" quotePrefix="0" xfId="0"/>
    <xf numFmtId="0" fontId="1" fillId="0" borderId="17" pivotButton="0" quotePrefix="0" xfId="0"/>
    <xf numFmtId="164" fontId="1" fillId="0" borderId="17" pivotButton="0" quotePrefix="0" xfId="0"/>
    <xf numFmtId="164" fontId="1" fillId="0" borderId="18" pivotButton="0" quotePrefix="0" xfId="0"/>
    <xf numFmtId="0" fontId="1" fillId="7" borderId="0" pivotButton="0" quotePrefix="0" xfId="0"/>
    <xf numFmtId="0" fontId="2" fillId="7" borderId="0" pivotButton="0" quotePrefix="0" xfId="0"/>
    <xf numFmtId="0" fontId="1" fillId="8" borderId="0" pivotButton="0" quotePrefix="0" xfId="0"/>
    <xf numFmtId="0" fontId="7" fillId="8" borderId="0" pivotButton="0" quotePrefix="0" xfId="0"/>
    <xf numFmtId="0" fontId="7" fillId="8" borderId="19" pivotButton="0" quotePrefix="0" xfId="0"/>
    <xf numFmtId="0" fontId="7" fillId="8" borderId="20" pivotButton="0" quotePrefix="0" xfId="0"/>
    <xf numFmtId="0" fontId="7" fillId="8" borderId="21" pivotButton="0" quotePrefix="0" xfId="0"/>
    <xf numFmtId="0" fontId="7" fillId="8" borderId="22" pivotButton="0" quotePrefix="0" xfId="0"/>
    <xf numFmtId="0" fontId="7" fillId="8" borderId="23" pivotButton="0" quotePrefix="0" xfId="0"/>
    <xf numFmtId="0" fontId="7" fillId="8" borderId="24" pivotButton="0" quotePrefix="0" xfId="0"/>
    <xf numFmtId="0" fontId="7" fillId="8" borderId="25" pivotButton="0" quotePrefix="0" xfId="0"/>
    <xf numFmtId="0" fontId="7" fillId="8" borderId="26" pivotButton="0" quotePrefix="0" xfId="0"/>
    <xf numFmtId="0" fontId="7" fillId="8" borderId="19" applyAlignment="1" pivotButton="0" quotePrefix="0" xfId="0">
      <alignment wrapText="1"/>
    </xf>
    <xf numFmtId="0" fontId="7" fillId="8" borderId="20" applyAlignment="1" pivotButton="0" quotePrefix="0" xfId="0">
      <alignment wrapText="1"/>
    </xf>
    <xf numFmtId="0" fontId="7" fillId="8" borderId="21" applyAlignment="1" pivotButton="0" quotePrefix="0" xfId="0">
      <alignment wrapText="1"/>
    </xf>
    <xf numFmtId="0" fontId="7" fillId="8" borderId="22" applyAlignment="1" pivotButton="0" quotePrefix="0" xfId="0">
      <alignment wrapText="1"/>
    </xf>
    <xf numFmtId="0" fontId="7" fillId="8" borderId="0" applyAlignment="1" pivotButton="0" quotePrefix="0" xfId="0">
      <alignment wrapText="1"/>
    </xf>
    <xf numFmtId="0" fontId="7" fillId="8" borderId="23" applyAlignment="1" pivotButton="0" quotePrefix="0" xfId="0">
      <alignment wrapText="1"/>
    </xf>
    <xf numFmtId="0" fontId="7" fillId="8" borderId="24" applyAlignment="1" pivotButton="0" quotePrefix="0" xfId="0">
      <alignment wrapText="1"/>
    </xf>
    <xf numFmtId="0" fontId="7" fillId="8" borderId="25" applyAlignment="1" pivotButton="0" quotePrefix="0" xfId="0">
      <alignment wrapText="1"/>
    </xf>
    <xf numFmtId="0" fontId="7" fillId="8" borderId="26" applyAlignment="1" pivotButton="0" quotePrefix="0" xfId="0">
      <alignment wrapText="1"/>
    </xf>
    <xf numFmtId="0" fontId="7" fillId="8" borderId="19" applyAlignment="1" pivotButton="0" quotePrefix="0" xfId="0">
      <alignment vertical="center" wrapText="1"/>
    </xf>
    <xf numFmtId="0" fontId="7" fillId="8" borderId="20" applyAlignment="1" pivotButton="0" quotePrefix="0" xfId="0">
      <alignment vertical="center" wrapText="1"/>
    </xf>
    <xf numFmtId="0" fontId="7" fillId="8" borderId="21" applyAlignment="1" pivotButton="0" quotePrefix="0" xfId="0">
      <alignment vertical="center" wrapText="1"/>
    </xf>
    <xf numFmtId="0" fontId="7" fillId="8" borderId="22" applyAlignment="1" pivotButton="0" quotePrefix="0" xfId="0">
      <alignment vertical="center" wrapText="1"/>
    </xf>
    <xf numFmtId="0" fontId="7" fillId="8" borderId="0" applyAlignment="1" pivotButton="0" quotePrefix="0" xfId="0">
      <alignment vertical="center" wrapText="1"/>
    </xf>
    <xf numFmtId="0" fontId="7" fillId="8" borderId="23" applyAlignment="1" pivotButton="0" quotePrefix="0" xfId="0">
      <alignment vertical="center" wrapText="1"/>
    </xf>
    <xf numFmtId="0" fontId="7" fillId="8" borderId="24" applyAlignment="1" pivotButton="0" quotePrefix="0" xfId="0">
      <alignment vertical="center" wrapText="1"/>
    </xf>
    <xf numFmtId="0" fontId="7" fillId="8" borderId="25" applyAlignment="1" pivotButton="0" quotePrefix="0" xfId="0">
      <alignment vertical="center" wrapText="1"/>
    </xf>
    <xf numFmtId="0" fontId="7" fillId="8" borderId="26" applyAlignment="1" pivotButton="0" quotePrefix="0" xfId="0">
      <alignment vertical="center" wrapText="1"/>
    </xf>
    <xf numFmtId="0" fontId="6" fillId="5" borderId="27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5" borderId="29" applyAlignment="1" pivotButton="0" quotePrefix="0" xfId="0">
      <alignment horizontal="center" vertical="center" wrapText="1"/>
    </xf>
    <xf numFmtId="0" fontId="6" fillId="5" borderId="3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1" fillId="0" borderId="14" pivotButton="0" quotePrefix="0" xfId="0"/>
    <xf numFmtId="164" fontId="1" fillId="0" borderId="15" pivotButton="0" quotePrefix="0" xfId="0"/>
    <xf numFmtId="164" fontId="1" fillId="0" borderId="17" pivotButton="0" quotePrefix="0" xfId="0"/>
    <xf numFmtId="164" fontId="1" fillId="0" borderId="18" pivotButton="0" quotePrefix="0" xfId="0"/>
    <xf numFmtId="0" fontId="7" fillId="8" borderId="32" applyAlignment="1" pivotButton="0" quotePrefix="0" xfId="0">
      <alignment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2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</cellXfs>
  <cellStyles count="1">
    <cellStyle name="Normal" xfId="0"/>
  </cellStyles>
  <dxfs count="6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oftwareDeveloperInitialPool" displayName="SoftwareDeveloperInitialPool" ref="A1:V397" headerRowCount="1" totalsRowCount="0" totalsRowShown="0">
  <tableColumns count="22">
    <tableColumn id="1" name="入选20人"/>
    <tableColumn id="2" name="Candidate ID"/>
    <tableColumn id="3" name="原始标题"/>
    <tableColumn id="4" name="分类"/>
    <tableColumn id="5" name="内容证据分"/>
    <tableColumn id="6" name="资历层级"/>
    <tableColumn id="7" name="教育层次"/>
    <tableColumn id="8" name="教育分"/>
    <tableColumn id="9" name="工作经历数"/>
    <tableColumn id="10" name="技术关键词数"/>
    <tableColumn id="11" name="明确技术证书"/>
    <tableColumn id="12" name="有Skills段"/>
    <tableColumn id="13" name="有证书/执照"/>
    <tableColumn id="14" name="有Awards/Honors"/>
    <tableColumn id="15" name="有量化成果/成就"/>
    <tableColumn id="16" name="有个人链接"/>
    <tableColumn id="17" name="有补充信息"/>
    <tableColumn id="18" name="有项目/GitHub/Open Source"/>
    <tableColumn id="19" name="正文字符数"/>
    <tableColumn id="20" name="技术方向"/>
    <tableColumn id="21" name="行业背景"/>
    <tableColumn id="22" name="原始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ftwareDeveloperSample20" displayName="SoftwareDeveloperSample20" ref="A1:X21" headerRowCount="1" totalsRowCount="0" totalsRowShown="0">
  <tableColumns count="24">
    <tableColumn id="1" name="样本序号"/>
    <tableColumn id="2" name="Candidate ID"/>
    <tableColumn id="3" name="原始标题"/>
    <tableColumn id="4" name="分类"/>
    <tableColumn id="5" name="内容证据分"/>
    <tableColumn id="6" name="资历层级"/>
    <tableColumn id="7" name="教育层次"/>
    <tableColumn id="8" name="教育分"/>
    <tableColumn id="9" name="工作经历数"/>
    <tableColumn id="10" name="技术关键词数"/>
    <tableColumn id="11" name="明确技术证书"/>
    <tableColumn id="12" name="有Skills段"/>
    <tableColumn id="13" name="有证书/执照"/>
    <tableColumn id="14" name="有Awards/Honors"/>
    <tableColumn id="15" name="有量化成果/成就"/>
    <tableColumn id="16" name="有个人链接"/>
    <tableColumn id="17" name="有补充信息"/>
    <tableColumn id="18" name="有项目/GitHub/Open Source"/>
    <tableColumn id="19" name="正文字符数"/>
    <tableColumn id="20" name="技术方向"/>
    <tableColumn id="21" name="行业背景"/>
    <tableColumn id="22" name="原始来源"/>
    <tableColumn id="23" name="入选理由"/>
    <tableColumn id="24" name="小样本T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28" t="inlineStr">
        <is>
          <t>普通级 Software Developer 简历初筛与20人多样化小样本</t>
        </is>
      </c>
    </row>
    <row r="2"/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29" t="inlineStr">
        <is>
          <t>初筛池</t>
        </is>
      </c>
      <c r="C4" s="29" t="inlineStr">
        <is>
          <t>20人小样本</t>
        </is>
      </c>
      <c r="E4" s="29" t="inlineStr">
        <is>
          <t>强 / 中 / 弱</t>
        </is>
      </c>
      <c r="G4" s="29" t="inlineStr">
        <is>
          <t>岗位标签</t>
        </is>
      </c>
    </row>
    <row r="5">
      <c r="A5" s="105">
        <f>COUNTA('Initial Pool'!$B$2:$B$397)</f>
        <v/>
      </c>
      <c r="B5" s="106" t="n"/>
      <c r="C5" s="107">
        <f>COUNTA('Sample 20'!$B$2:$B$21)</f>
        <v/>
      </c>
      <c r="D5" s="106" t="n"/>
      <c r="E5" s="107">
        <f>COUNTIF('Sample 20'!$D$2:$D$21,"强")&amp;" / "&amp;COUNTIF('Sample 20'!$D$2:$D$21,"中")&amp;" / "&amp;COUNTIF('Sample 20'!$D$2:$D$21,"弱")</f>
        <v/>
      </c>
      <c r="F5" s="106" t="n"/>
      <c r="G5" s="108" t="inlineStr">
        <is>
          <t>Software_Developer → 普通级 Software Developer</t>
        </is>
      </c>
      <c r="H5" s="109" t="n"/>
    </row>
    <row r="6">
      <c r="A6" s="110" t="n"/>
      <c r="B6" s="111" t="n"/>
      <c r="C6" s="111" t="n"/>
      <c r="D6" s="111" t="n"/>
      <c r="E6" s="111" t="n"/>
      <c r="F6" s="111" t="n"/>
      <c r="G6" s="111" t="n"/>
      <c r="H6" s="112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57" t="inlineStr">
        <is>
          <t>第一次筛选条件</t>
        </is>
      </c>
    </row>
    <row r="9">
      <c r="A9" s="60" t="inlineStr">
        <is>
          <t>1</t>
        </is>
      </c>
      <c r="B9" s="17" t="inlineStr">
        <is>
          <t>唯一标准标签严格等于 Software_Developer</t>
        </is>
      </c>
    </row>
    <row r="10">
      <c r="A10" s="60" t="inlineStr">
        <is>
          <t>2</t>
        </is>
      </c>
      <c r="B10" s="17" t="inlineStr">
        <is>
          <t>来源批次严格等于 soft_dav_part_1</t>
        </is>
      </c>
    </row>
    <row r="11">
      <c r="A11" s="60" t="inlineStr">
        <is>
          <t>3</t>
        </is>
      </c>
      <c r="B11" s="17" t="inlineStr">
        <is>
          <t>原始标题严格等于 Software Developer；排除Senior、Junior、Principal、Lead、Intern及Software Engineer、Web Developer等相邻岗位</t>
        </is>
      </c>
    </row>
    <row r="12">
      <c r="A12" s="60" t="inlineStr">
        <is>
          <t>4</t>
        </is>
      </c>
      <c r="B12" s="17" t="inlineStr">
        <is>
          <t>正文长度1,200–20,000字符，至少1段日期化工作经历和3类开发关键词</t>
        </is>
      </c>
    </row>
    <row r="13">
      <c r="A13" s="60" t="inlineStr">
        <is>
          <t>5</t>
        </is>
      </c>
      <c r="B13" s="17" t="inlineStr">
        <is>
          <t>windows-1252解码为UTF-8；只整理可靠的标准章节标题，不补造内容</t>
        </is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64" t="inlineStr">
        <is>
          <t>内容指标</t>
        </is>
      </c>
      <c r="B15" s="65" t="inlineStr">
        <is>
          <t>初筛池数量</t>
        </is>
      </c>
      <c r="C15" s="65" t="inlineStr">
        <is>
          <t>初筛池占比</t>
        </is>
      </c>
      <c r="D15" s="65" t="inlineStr">
        <is>
          <t>20人数量</t>
        </is>
      </c>
      <c r="E15" s="66" t="inlineStr">
        <is>
          <t>20人占比</t>
        </is>
      </c>
      <c r="F15" s="1" t="n"/>
      <c r="G15" s="1" t="n"/>
      <c r="H15" s="1" t="n"/>
    </row>
    <row r="16">
      <c r="A16" s="67" t="inlineStr">
        <is>
          <t>有Skills段</t>
        </is>
      </c>
      <c r="B16" s="68">
        <f>COUNTIF('Initial Pool'!$L$2:$L$397,"是")</f>
        <v/>
      </c>
      <c r="C16" s="113">
        <f>B16/$A$5</f>
        <v/>
      </c>
      <c r="D16" s="68">
        <f>COUNTIF('Sample 20'!$L$2:$L$21,"是")</f>
        <v/>
      </c>
      <c r="E16" s="114">
        <f>D16/$C$5</f>
        <v/>
      </c>
      <c r="F16" s="1" t="n"/>
      <c r="G16" s="1" t="n"/>
      <c r="H16" s="1" t="n"/>
    </row>
    <row r="17">
      <c r="A17" s="67" t="inlineStr">
        <is>
          <t>有证书/执照</t>
        </is>
      </c>
      <c r="B17" s="68">
        <f>COUNTIF('Initial Pool'!$M$2:$M$397,"是")</f>
        <v/>
      </c>
      <c r="C17" s="113">
        <f>B17/$A$5</f>
        <v/>
      </c>
      <c r="D17" s="68">
        <f>COUNTIF('Sample 20'!$M$2:$M$21,"是")</f>
        <v/>
      </c>
      <c r="E17" s="114">
        <f>D17/$C$5</f>
        <v/>
      </c>
      <c r="F17" s="1" t="n"/>
      <c r="G17" s="1" t="n"/>
      <c r="H17" s="1" t="n"/>
    </row>
    <row r="18">
      <c r="A18" s="67" t="inlineStr">
        <is>
          <t>有Awards/Honors</t>
        </is>
      </c>
      <c r="B18" s="68">
        <f>COUNTIF('Initial Pool'!$N$2:$N$397,"是")</f>
        <v/>
      </c>
      <c r="C18" s="113">
        <f>B18/$A$5</f>
        <v/>
      </c>
      <c r="D18" s="68">
        <f>COUNTIF('Sample 20'!$N$2:$N$21,"是")</f>
        <v/>
      </c>
      <c r="E18" s="114">
        <f>D18/$C$5</f>
        <v/>
      </c>
      <c r="F18" s="1" t="n"/>
      <c r="G18" s="1" t="n"/>
      <c r="H18" s="1" t="n"/>
    </row>
    <row r="19">
      <c r="A19" s="67" t="inlineStr">
        <is>
          <t>有量化成果/成就</t>
        </is>
      </c>
      <c r="B19" s="68">
        <f>COUNTIF('Initial Pool'!$O$2:$O$397,"是")</f>
        <v/>
      </c>
      <c r="C19" s="113">
        <f>B19/$A$5</f>
        <v/>
      </c>
      <c r="D19" s="68">
        <f>COUNTIF('Sample 20'!$O$2:$O$21,"是")</f>
        <v/>
      </c>
      <c r="E19" s="114">
        <f>D19/$C$5</f>
        <v/>
      </c>
      <c r="F19" s="1" t="n"/>
      <c r="G19" s="1" t="n"/>
      <c r="H19" s="1" t="n"/>
    </row>
    <row r="20">
      <c r="A20" s="67" t="inlineStr">
        <is>
          <t>有个人链接</t>
        </is>
      </c>
      <c r="B20" s="68">
        <f>COUNTIF('Initial Pool'!$P$2:$P$397,"是")</f>
        <v/>
      </c>
      <c r="C20" s="113">
        <f>B20/$A$5</f>
        <v/>
      </c>
      <c r="D20" s="68">
        <f>COUNTIF('Sample 20'!$P$2:$P$21,"是")</f>
        <v/>
      </c>
      <c r="E20" s="114">
        <f>D20/$C$5</f>
        <v/>
      </c>
      <c r="F20" s="1" t="n"/>
      <c r="G20" s="1" t="n"/>
      <c r="H20" s="1" t="n"/>
    </row>
    <row r="21">
      <c r="A21" s="67" t="inlineStr">
        <is>
          <t>有项目/GitHub/Open Source</t>
        </is>
      </c>
      <c r="B21" s="68">
        <f>COUNTIF('Initial Pool'!$R$2:$R$397,"是")</f>
        <v/>
      </c>
      <c r="C21" s="113">
        <f>B21/$A$5</f>
        <v/>
      </c>
      <c r="D21" s="68">
        <f>COUNTIF('Sample 20'!$R$2:$R$21,"是")</f>
        <v/>
      </c>
      <c r="E21" s="114">
        <f>D21/$C$5</f>
        <v/>
      </c>
      <c r="F21" s="1" t="n"/>
      <c r="G21" s="1" t="n"/>
      <c r="H21" s="1" t="n"/>
    </row>
    <row r="22">
      <c r="A22" s="67" t="inlineStr">
        <is>
          <t>3段及以上工作经历</t>
        </is>
      </c>
      <c r="B22" s="68">
        <f>COUNTIF('Initial Pool'!$I$2:$I$397,"&gt;=3")</f>
        <v/>
      </c>
      <c r="C22" s="113">
        <f>B22/$A$5</f>
        <v/>
      </c>
      <c r="D22" s="68">
        <f>COUNTIF('Sample 20'!$I$2:$I$21,"&gt;=3")</f>
        <v/>
      </c>
      <c r="E22" s="114">
        <f>D22/$C$5</f>
        <v/>
      </c>
      <c r="F22" s="1" t="n"/>
      <c r="G22" s="1" t="n"/>
      <c r="H22" s="1" t="n"/>
    </row>
    <row r="23">
      <c r="A23" s="71" t="inlineStr">
        <is>
          <t>Bachelor及以上</t>
        </is>
      </c>
      <c r="B23" s="72">
        <f>COUNTIF('Initial Pool'!$G$2:$G$397,"Bachelor")+COUNTIF('Initial Pool'!$G$2:$G$397,"Master")+COUNTIF('Initial Pool'!$G$2:$G$397,"Doctorate")</f>
        <v/>
      </c>
      <c r="C23" s="115">
        <f>B23/$A$5</f>
        <v/>
      </c>
      <c r="D23" s="72">
        <f>COUNTIF('Sample 20'!$G$2:$G$21,"Bachelor")+COUNTIF('Sample 20'!$G$2:$G$21,"Master")+COUNTIF('Sample 20'!$G$2:$G$21,"Doctorate")</f>
        <v/>
      </c>
      <c r="E23" s="116">
        <f>D23/$C$5</f>
        <v/>
      </c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76" t="inlineStr">
        <is>
          <t>重要说明</t>
        </is>
      </c>
    </row>
    <row r="26">
      <c r="A26" s="117" t="inlineStr">
        <is>
          <t>“强 / 中 / 弱”只描述简历中可见证据的完整度与丰富度，不代表候选人的真实能力、人格、录用结论或岗位适配度。所有样本的原始标题均严格等于Software Developer；20人小样本按7强、7中、6弱配置，并兼顾学历、工作经历、技术栈、行业、证书、奖项、成果、链接和项目经历的差异。最终20份均通过实际ReportLab PDF页数预检，成品不超过2页。</t>
        </is>
      </c>
      <c r="B26" s="118" t="n"/>
      <c r="C26" s="118" t="n"/>
      <c r="D26" s="118" t="n"/>
      <c r="E26" s="118" t="n"/>
      <c r="F26" s="118" t="n"/>
      <c r="G26" s="118" t="n"/>
      <c r="H26" s="119" t="n"/>
    </row>
    <row r="27">
      <c r="A27" s="120" t="n"/>
      <c r="H27" s="121" t="n"/>
    </row>
    <row r="28">
      <c r="A28" s="120" t="n"/>
      <c r="H28" s="121" t="n"/>
    </row>
    <row r="29">
      <c r="A29" s="122" t="n"/>
      <c r="B29" s="123" t="n"/>
      <c r="C29" s="123" t="n"/>
      <c r="D29" s="123" t="n"/>
      <c r="E29" s="123" t="n"/>
      <c r="F29" s="123" t="n"/>
      <c r="G29" s="123" t="n"/>
      <c r="H29" s="124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</sheetData>
  <mergeCells count="17">
    <mergeCell ref="A4:B4"/>
    <mergeCell ref="G4:H4"/>
    <mergeCell ref="E4:F4"/>
    <mergeCell ref="A26:H29"/>
    <mergeCell ref="B9:H9"/>
    <mergeCell ref="B13:H13"/>
    <mergeCell ref="A25:H25"/>
    <mergeCell ref="B12:H12"/>
    <mergeCell ref="C5:D6"/>
    <mergeCell ref="A5:B6"/>
    <mergeCell ref="G5:H6"/>
    <mergeCell ref="E5:F6"/>
    <mergeCell ref="B10:H10"/>
    <mergeCell ref="B11:H11"/>
    <mergeCell ref="A1:H2"/>
    <mergeCell ref="A8:H8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33" customWidth="1" min="20" max="20"/>
    <col width="33" customWidth="1" min="21" max="21"/>
    <col width="46" customWidth="1" min="22" max="22"/>
  </cols>
  <sheetData>
    <row r="1" ht="31" customHeight="1">
      <c r="A1" s="11" t="inlineStr">
        <is>
          <t>入选20人</t>
        </is>
      </c>
      <c r="B1" s="12" t="inlineStr">
        <is>
          <t>Candidate ID</t>
        </is>
      </c>
      <c r="C1" s="12" t="inlineStr">
        <is>
          <t>原始标题</t>
        </is>
      </c>
      <c r="D1" s="12" t="inlineStr">
        <is>
          <t>分类</t>
        </is>
      </c>
      <c r="E1" s="12" t="inlineStr">
        <is>
          <t>内容证据分</t>
        </is>
      </c>
      <c r="F1" s="12" t="inlineStr">
        <is>
          <t>资历层级</t>
        </is>
      </c>
      <c r="G1" s="12" t="inlineStr">
        <is>
          <t>教育层次</t>
        </is>
      </c>
      <c r="H1" s="12" t="inlineStr">
        <is>
          <t>教育分</t>
        </is>
      </c>
      <c r="I1" s="12" t="inlineStr">
        <is>
          <t>工作经历数</t>
        </is>
      </c>
      <c r="J1" s="12" t="inlineStr">
        <is>
          <t>技术关键词数</t>
        </is>
      </c>
      <c r="K1" s="12" t="inlineStr">
        <is>
          <t>明确技术证书</t>
        </is>
      </c>
      <c r="L1" s="12" t="inlineStr">
        <is>
          <t>有Skills段</t>
        </is>
      </c>
      <c r="M1" s="12" t="inlineStr">
        <is>
          <t>有证书/执照</t>
        </is>
      </c>
      <c r="N1" s="12" t="inlineStr">
        <is>
          <t>有Awards/Honors</t>
        </is>
      </c>
      <c r="O1" s="12" t="inlineStr">
        <is>
          <t>有量化成果/成就</t>
        </is>
      </c>
      <c r="P1" s="12" t="inlineStr">
        <is>
          <t>有个人链接</t>
        </is>
      </c>
      <c r="Q1" s="12" t="inlineStr">
        <is>
          <t>有补充信息</t>
        </is>
      </c>
      <c r="R1" s="12" t="inlineStr">
        <is>
          <t>有项目/GitHub/Open Source</t>
        </is>
      </c>
      <c r="S1" s="12" t="inlineStr">
        <is>
          <t>正文字符数</t>
        </is>
      </c>
      <c r="T1" s="12" t="inlineStr">
        <is>
          <t>技术方向</t>
        </is>
      </c>
      <c r="U1" s="12" t="inlineStr">
        <is>
          <t>行业背景</t>
        </is>
      </c>
      <c r="V1" s="13" t="inlineStr">
        <is>
          <t>原始来源</t>
        </is>
      </c>
    </row>
    <row r="2">
      <c r="A2" s="2">
        <f>IF(COUNTIF('Sample 20'!$B$2:$B$21,B2)&gt;0,"是","")</f>
        <v/>
      </c>
      <c r="B2" s="2" t="inlineStr">
        <is>
          <t>20509</t>
        </is>
      </c>
      <c r="C2" s="15" t="inlineStr">
        <is>
          <t>Software Developer</t>
        </is>
      </c>
      <c r="D2" s="15">
        <f>IF(E2&gt;='Scoring Rules'!$B$3,"强",IF(E2&gt;='Scoring Rules'!$B$4,"中","弱"))</f>
        <v/>
      </c>
      <c r="E2" s="125">
        <f>MIN(100,H2+IF(I2&gt;=5,'Scoring Rules'!$B$16,IF(I2&gt;=3,'Scoring Rules'!$B$17,IF(I2&gt;=1,'Scoring Rules'!$B$18,'Scoring Rules'!$B$19)))+IF(L2="是",'Scoring Rules'!$B$22,0)+MIN(J2*'Scoring Rules'!$B$23,'Scoring Rules'!$B$24)+IF(M2="是",'Scoring Rules'!$B$25,0)+MIN((IF(K2="",0,LEN(K2)-LEN(SUBSTITUTE(K2,";",""))+1))*'Scoring Rules'!$B$26,'Scoring Rules'!$B$27)+IF(N2="是",'Scoring Rules'!$B$28,0)+IF(O2="是",'Scoring Rules'!$B$29,0)+IF(P2="是",'Scoring Rules'!$B$30,0)+IF(Q2="是",'Scoring Rules'!$B$31,0)+IF(R2="是",'Scoring Rules'!$B$32,0)+IF(S2&gt;=8000,'Scoring Rules'!$B$35,IF(S2&gt;=4000,'Scoring Rules'!$B$36,IF(S2&gt;=2000,'Scoring Rules'!$B$37,'Scoring Rules'!$B$38))))</f>
        <v/>
      </c>
      <c r="F2" s="15" t="inlineStr">
        <is>
          <t>Standard</t>
        </is>
      </c>
      <c r="G2" s="15" t="inlineStr">
        <is>
          <t>Master</t>
        </is>
      </c>
      <c r="H2" s="15" t="n">
        <v>16</v>
      </c>
      <c r="I2" s="15" t="n">
        <v>2</v>
      </c>
      <c r="J2" s="15" t="n">
        <v>8</v>
      </c>
      <c r="K2" s="15" t="str"/>
      <c r="L2" s="15" t="str"/>
      <c r="M2" s="15" t="str"/>
      <c r="N2" s="15" t="str"/>
      <c r="O2" s="15" t="str"/>
      <c r="P2" s="15" t="str"/>
      <c r="Q2" s="15" t="str"/>
      <c r="R2" s="15" t="inlineStr">
        <is>
          <t>是</t>
        </is>
      </c>
      <c r="S2" s="15" t="n">
        <v>2296</v>
      </c>
      <c r="T2" s="15" t="inlineStr">
        <is>
          <t>Frontend; Backend/API; Data/Database; Embedded/Systems</t>
        </is>
      </c>
      <c r="U2" s="15" t="inlineStr">
        <is>
          <t>Healthcare; Technology; Education/Research</t>
        </is>
      </c>
      <c r="V2" s="15" t="inlineStr">
        <is>
          <t>C:\Workspace\java\scrape_indeed\soft_dav_part_1\1.html#20783</t>
        </is>
      </c>
    </row>
    <row r="3">
      <c r="A3" s="2">
        <f>IF(COUNTIF('Sample 20'!$B$2:$B$21,B3)&gt;0,"是","")</f>
        <v/>
      </c>
      <c r="B3" s="2" t="inlineStr">
        <is>
          <t>20510</t>
        </is>
      </c>
      <c r="C3" s="15" t="inlineStr">
        <is>
          <t>Software Developer</t>
        </is>
      </c>
      <c r="D3" s="15">
        <f>IF(E3&gt;='Scoring Rules'!$B$3,"强",IF(E3&gt;='Scoring Rules'!$B$4,"中","弱"))</f>
        <v/>
      </c>
      <c r="E3" s="125">
        <f>MIN(100,H3+IF(I3&gt;=5,'Scoring Rules'!$B$16,IF(I3&gt;=3,'Scoring Rules'!$B$17,IF(I3&gt;=1,'Scoring Rules'!$B$18,'Scoring Rules'!$B$19)))+IF(L3="是",'Scoring Rules'!$B$22,0)+MIN(J3*'Scoring Rules'!$B$23,'Scoring Rules'!$B$24)+IF(M3="是",'Scoring Rules'!$B$25,0)+MIN((IF(K3="",0,LEN(K3)-LEN(SUBSTITUTE(K3,";",""))+1))*'Scoring Rules'!$B$26,'Scoring Rules'!$B$27)+IF(N3="是",'Scoring Rules'!$B$28,0)+IF(O3="是",'Scoring Rules'!$B$29,0)+IF(P3="是",'Scoring Rules'!$B$30,0)+IF(Q3="是",'Scoring Rules'!$B$31,0)+IF(R3="是",'Scoring Rules'!$B$32,0)+IF(S3&gt;=8000,'Scoring Rules'!$B$35,IF(S3&gt;=4000,'Scoring Rules'!$B$36,IF(S3&gt;=2000,'Scoring Rules'!$B$37,'Scoring Rules'!$B$38))))</f>
        <v/>
      </c>
      <c r="F3" s="15" t="inlineStr">
        <is>
          <t>Standard</t>
        </is>
      </c>
      <c r="G3" s="15" t="inlineStr">
        <is>
          <t>Unspecified</t>
        </is>
      </c>
      <c r="H3" s="15" t="n">
        <v>0</v>
      </c>
      <c r="I3" s="15" t="n">
        <v>1</v>
      </c>
      <c r="J3" s="15" t="n">
        <v>14</v>
      </c>
      <c r="K3" s="15" t="str"/>
      <c r="L3" s="15" t="str"/>
      <c r="M3" s="15" t="str"/>
      <c r="N3" s="15" t="str"/>
      <c r="O3" s="15" t="str"/>
      <c r="P3" s="15" t="str"/>
      <c r="Q3" s="15" t="str"/>
      <c r="R3" s="15" t="inlineStr">
        <is>
          <t>是</t>
        </is>
      </c>
      <c r="S3" s="15" t="n">
        <v>2301</v>
      </c>
      <c r="T3" s="15" t="inlineStr">
        <is>
          <t>Frontend; Backend/API; Mobile; Data/Database; Cloud/DevOps; Testing/Automation</t>
        </is>
      </c>
      <c r="U3" s="15" t="inlineStr">
        <is>
          <t>Technology; Education/Research</t>
        </is>
      </c>
      <c r="V3" s="15" t="inlineStr">
        <is>
          <t>C:\Workspace\java\scrape_indeed\soft_dav_part_1\10.html#20784</t>
        </is>
      </c>
    </row>
    <row r="4">
      <c r="A4" s="2">
        <f>IF(COUNTIF('Sample 20'!$B$2:$B$21,B4)&gt;0,"是","")</f>
        <v/>
      </c>
      <c r="B4" s="2" t="inlineStr">
        <is>
          <t>20516</t>
        </is>
      </c>
      <c r="C4" s="15" t="inlineStr">
        <is>
          <t>Software Developer</t>
        </is>
      </c>
      <c r="D4" s="15">
        <f>IF(E4&gt;='Scoring Rules'!$B$3,"强",IF(E4&gt;='Scoring Rules'!$B$4,"中","弱"))</f>
        <v/>
      </c>
      <c r="E4" s="125">
        <f>MIN(100,H4+IF(I4&gt;=5,'Scoring Rules'!$B$16,IF(I4&gt;=3,'Scoring Rules'!$B$17,IF(I4&gt;=1,'Scoring Rules'!$B$18,'Scoring Rules'!$B$19)))+IF(L4="是",'Scoring Rules'!$B$22,0)+MIN(J4*'Scoring Rules'!$B$23,'Scoring Rules'!$B$24)+IF(M4="是",'Scoring Rules'!$B$25,0)+MIN((IF(K4="",0,LEN(K4)-LEN(SUBSTITUTE(K4,";",""))+1))*'Scoring Rules'!$B$26,'Scoring Rules'!$B$27)+IF(N4="是",'Scoring Rules'!$B$28,0)+IF(O4="是",'Scoring Rules'!$B$29,0)+IF(P4="是",'Scoring Rules'!$B$30,0)+IF(Q4="是",'Scoring Rules'!$B$31,0)+IF(R4="是",'Scoring Rules'!$B$32,0)+IF(S4&gt;=8000,'Scoring Rules'!$B$35,IF(S4&gt;=4000,'Scoring Rules'!$B$36,IF(S4&gt;=2000,'Scoring Rules'!$B$37,'Scoring Rules'!$B$38))))</f>
        <v/>
      </c>
      <c r="F4" s="15" t="inlineStr">
        <is>
          <t>Standard</t>
        </is>
      </c>
      <c r="G4" s="15" t="inlineStr">
        <is>
          <t>Certificate</t>
        </is>
      </c>
      <c r="H4" s="15" t="n">
        <v>6</v>
      </c>
      <c r="I4" s="15" t="n">
        <v>5</v>
      </c>
      <c r="J4" s="15" t="n">
        <v>4</v>
      </c>
      <c r="K4" s="15" t="str"/>
      <c r="L4" s="15" t="str"/>
      <c r="M4" s="15" t="str"/>
      <c r="N4" s="15" t="str"/>
      <c r="O4" s="15" t="str"/>
      <c r="P4" s="15" t="str"/>
      <c r="Q4" s="15" t="str"/>
      <c r="R4" s="15" t="str"/>
      <c r="S4" s="15" t="n">
        <v>1977</v>
      </c>
      <c r="T4" s="15" t="inlineStr">
        <is>
          <t>Data/Database</t>
        </is>
      </c>
      <c r="U4" s="15" t="inlineStr">
        <is>
          <t>Technology; Education/Research</t>
        </is>
      </c>
      <c r="V4" s="15" t="inlineStr">
        <is>
          <t>C:\Workspace\java\scrape_indeed\soft_dav_part_1\1004.html#20790</t>
        </is>
      </c>
    </row>
    <row r="5">
      <c r="A5" s="2">
        <f>IF(COUNTIF('Sample 20'!$B$2:$B$21,B5)&gt;0,"是","")</f>
        <v/>
      </c>
      <c r="B5" s="2" t="inlineStr">
        <is>
          <t>20522</t>
        </is>
      </c>
      <c r="C5" s="15" t="inlineStr">
        <is>
          <t>Software Developer</t>
        </is>
      </c>
      <c r="D5" s="15">
        <f>IF(E5&gt;='Scoring Rules'!$B$3,"强",IF(E5&gt;='Scoring Rules'!$B$4,"中","弱"))</f>
        <v/>
      </c>
      <c r="E5" s="125">
        <f>MIN(100,H5+IF(I5&gt;=5,'Scoring Rules'!$B$16,IF(I5&gt;=3,'Scoring Rules'!$B$17,IF(I5&gt;=1,'Scoring Rules'!$B$18,'Scoring Rules'!$B$19)))+IF(L5="是",'Scoring Rules'!$B$22,0)+MIN(J5*'Scoring Rules'!$B$23,'Scoring Rules'!$B$24)+IF(M5="是",'Scoring Rules'!$B$25,0)+MIN((IF(K5="",0,LEN(K5)-LEN(SUBSTITUTE(K5,";",""))+1))*'Scoring Rules'!$B$26,'Scoring Rules'!$B$27)+IF(N5="是",'Scoring Rules'!$B$28,0)+IF(O5="是",'Scoring Rules'!$B$29,0)+IF(P5="是",'Scoring Rules'!$B$30,0)+IF(Q5="是",'Scoring Rules'!$B$31,0)+IF(R5="是",'Scoring Rules'!$B$32,0)+IF(S5&gt;=8000,'Scoring Rules'!$B$35,IF(S5&gt;=4000,'Scoring Rules'!$B$36,IF(S5&gt;=2000,'Scoring Rules'!$B$37,'Scoring Rules'!$B$38))))</f>
        <v/>
      </c>
      <c r="F5" s="15" t="inlineStr">
        <is>
          <t>Standard</t>
        </is>
      </c>
      <c r="G5" s="15" t="inlineStr">
        <is>
          <t>Bachelor</t>
        </is>
      </c>
      <c r="H5" s="15" t="n">
        <v>12</v>
      </c>
      <c r="I5" s="15" t="n">
        <v>3</v>
      </c>
      <c r="J5" s="15" t="n">
        <v>18</v>
      </c>
      <c r="K5" s="15" t="str"/>
      <c r="L5" s="15" t="inlineStr">
        <is>
          <t>是</t>
        </is>
      </c>
      <c r="M5" s="15" t="str"/>
      <c r="N5" s="15" t="str"/>
      <c r="O5" s="15" t="inlineStr">
        <is>
          <t>是</t>
        </is>
      </c>
      <c r="P5" s="15" t="inlineStr">
        <is>
          <t>是</t>
        </is>
      </c>
      <c r="Q5" s="15" t="inlineStr">
        <is>
          <t>是</t>
        </is>
      </c>
      <c r="R5" s="15" t="inlineStr">
        <is>
          <t>是</t>
        </is>
      </c>
      <c r="S5" s="15" t="n">
        <v>2330</v>
      </c>
      <c r="T5" s="15" t="inlineStr">
        <is>
          <t>Frontend; Backend/API; Data/Database; Cloud/DevOps; Embedded/Systems; Testing/Automation; Machine Learning</t>
        </is>
      </c>
      <c r="U5" s="15" t="inlineStr">
        <is>
          <t>Finance/Banking; Technology; Education/Research</t>
        </is>
      </c>
      <c r="V5" s="15" t="inlineStr">
        <is>
          <t>C:\Workspace\java\scrape_indeed\soft_dav_part_1\101.html#20796</t>
        </is>
      </c>
    </row>
    <row r="6">
      <c r="A6" s="2">
        <f>IF(COUNTIF('Sample 20'!$B$2:$B$21,B6)&gt;0,"是","")</f>
        <v/>
      </c>
      <c r="B6" s="2" t="inlineStr">
        <is>
          <t>20527</t>
        </is>
      </c>
      <c r="C6" s="15" t="inlineStr">
        <is>
          <t>Software Developer</t>
        </is>
      </c>
      <c r="D6" s="15">
        <f>IF(E6&gt;='Scoring Rules'!$B$3,"强",IF(E6&gt;='Scoring Rules'!$B$4,"中","弱"))</f>
        <v/>
      </c>
      <c r="E6" s="125">
        <f>MIN(100,H6+IF(I6&gt;=5,'Scoring Rules'!$B$16,IF(I6&gt;=3,'Scoring Rules'!$B$17,IF(I6&gt;=1,'Scoring Rules'!$B$18,'Scoring Rules'!$B$19)))+IF(L6="是",'Scoring Rules'!$B$22,0)+MIN(J6*'Scoring Rules'!$B$23,'Scoring Rules'!$B$24)+IF(M6="是",'Scoring Rules'!$B$25,0)+MIN((IF(K6="",0,LEN(K6)-LEN(SUBSTITUTE(K6,";",""))+1))*'Scoring Rules'!$B$26,'Scoring Rules'!$B$27)+IF(N6="是",'Scoring Rules'!$B$28,0)+IF(O6="是",'Scoring Rules'!$B$29,0)+IF(P6="是",'Scoring Rules'!$B$30,0)+IF(Q6="是",'Scoring Rules'!$B$31,0)+IF(R6="是",'Scoring Rules'!$B$32,0)+IF(S6&gt;=8000,'Scoring Rules'!$B$35,IF(S6&gt;=4000,'Scoring Rules'!$B$36,IF(S6&gt;=2000,'Scoring Rules'!$B$37,'Scoring Rules'!$B$38))))</f>
        <v/>
      </c>
      <c r="F6" s="15" t="inlineStr">
        <is>
          <t>Standard</t>
        </is>
      </c>
      <c r="G6" s="15" t="inlineStr">
        <is>
          <t>Unspecified</t>
        </is>
      </c>
      <c r="H6" s="15" t="n">
        <v>0</v>
      </c>
      <c r="I6" s="15" t="n">
        <v>4</v>
      </c>
      <c r="J6" s="15" t="n">
        <v>11</v>
      </c>
      <c r="K6" s="15" t="str"/>
      <c r="L6" s="15" t="str"/>
      <c r="M6" s="15" t="str"/>
      <c r="N6" s="15" t="str"/>
      <c r="O6" s="15" t="str"/>
      <c r="P6" s="15" t="str"/>
      <c r="Q6" s="15" t="str"/>
      <c r="R6" s="15" t="inlineStr">
        <is>
          <t>是</t>
        </is>
      </c>
      <c r="S6" s="15" t="n">
        <v>3681</v>
      </c>
      <c r="T6" s="15" t="inlineStr">
        <is>
          <t>Frontend; Backend/API</t>
        </is>
      </c>
      <c r="U6" s="15" t="inlineStr">
        <is>
          <t>Technology; Education/Research</t>
        </is>
      </c>
      <c r="V6" s="15" t="inlineStr">
        <is>
          <t>C:\Workspace\java\scrape_indeed\soft_dav_part_1\1014.html#20801</t>
        </is>
      </c>
    </row>
    <row r="7">
      <c r="A7" s="2">
        <f>IF(COUNTIF('Sample 20'!$B$2:$B$21,B7)&gt;0,"是","")</f>
        <v/>
      </c>
      <c r="B7" s="2" t="inlineStr">
        <is>
          <t>20540</t>
        </is>
      </c>
      <c r="C7" s="15" t="inlineStr">
        <is>
          <t>Software Developer</t>
        </is>
      </c>
      <c r="D7" s="15">
        <f>IF(E7&gt;='Scoring Rules'!$B$3,"强",IF(E7&gt;='Scoring Rules'!$B$4,"中","弱"))</f>
        <v/>
      </c>
      <c r="E7" s="125">
        <f>MIN(100,H7+IF(I7&gt;=5,'Scoring Rules'!$B$16,IF(I7&gt;=3,'Scoring Rules'!$B$17,IF(I7&gt;=1,'Scoring Rules'!$B$18,'Scoring Rules'!$B$19)))+IF(L7="是",'Scoring Rules'!$B$22,0)+MIN(J7*'Scoring Rules'!$B$23,'Scoring Rules'!$B$24)+IF(M7="是",'Scoring Rules'!$B$25,0)+MIN((IF(K7="",0,LEN(K7)-LEN(SUBSTITUTE(K7,";",""))+1))*'Scoring Rules'!$B$26,'Scoring Rules'!$B$27)+IF(N7="是",'Scoring Rules'!$B$28,0)+IF(O7="是",'Scoring Rules'!$B$29,0)+IF(P7="是",'Scoring Rules'!$B$30,0)+IF(Q7="是",'Scoring Rules'!$B$31,0)+IF(R7="是",'Scoring Rules'!$B$32,0)+IF(S7&gt;=8000,'Scoring Rules'!$B$35,IF(S7&gt;=4000,'Scoring Rules'!$B$36,IF(S7&gt;=2000,'Scoring Rules'!$B$37,'Scoring Rules'!$B$38))))</f>
        <v/>
      </c>
      <c r="F7" s="15" t="inlineStr">
        <is>
          <t>Standard</t>
        </is>
      </c>
      <c r="G7" s="15" t="inlineStr">
        <is>
          <t>Bachelor</t>
        </is>
      </c>
      <c r="H7" s="15" t="n">
        <v>12</v>
      </c>
      <c r="I7" s="15" t="n">
        <v>5</v>
      </c>
      <c r="J7" s="15" t="n">
        <v>19</v>
      </c>
      <c r="K7" s="15" t="str"/>
      <c r="L7" s="15" t="inlineStr">
        <is>
          <t>是</t>
        </is>
      </c>
      <c r="M7" s="15" t="str"/>
      <c r="N7" s="15" t="str"/>
      <c r="O7" s="15" t="str"/>
      <c r="P7" s="15" t="inlineStr">
        <is>
          <t>是</t>
        </is>
      </c>
      <c r="Q7" s="15" t="inlineStr">
        <is>
          <t>是</t>
        </is>
      </c>
      <c r="R7" s="15" t="inlineStr">
        <is>
          <t>是</t>
        </is>
      </c>
      <c r="S7" s="15" t="n">
        <v>4108</v>
      </c>
      <c r="T7" s="15" t="inlineStr">
        <is>
          <t>Frontend; Backend/API; Data/Database</t>
        </is>
      </c>
      <c r="U7" s="15" t="inlineStr">
        <is>
          <t>Finance/Banking; Healthcare; Technology; Education/Research</t>
        </is>
      </c>
      <c r="V7" s="15" t="inlineStr">
        <is>
          <t>C:\Workspace\java\scrape_indeed\soft_dav_part_1\1026.html#20814</t>
        </is>
      </c>
    </row>
    <row r="8">
      <c r="A8" s="2">
        <f>IF(COUNTIF('Sample 20'!$B$2:$B$21,B8)&gt;0,"是","")</f>
        <v/>
      </c>
      <c r="B8" s="2" t="inlineStr">
        <is>
          <t>20545</t>
        </is>
      </c>
      <c r="C8" s="15" t="inlineStr">
        <is>
          <t>Software Developer</t>
        </is>
      </c>
      <c r="D8" s="15">
        <f>IF(E8&gt;='Scoring Rules'!$B$3,"强",IF(E8&gt;='Scoring Rules'!$B$4,"中","弱"))</f>
        <v/>
      </c>
      <c r="E8" s="125">
        <f>MIN(100,H8+IF(I8&gt;=5,'Scoring Rules'!$B$16,IF(I8&gt;=3,'Scoring Rules'!$B$17,IF(I8&gt;=1,'Scoring Rules'!$B$18,'Scoring Rules'!$B$19)))+IF(L8="是",'Scoring Rules'!$B$22,0)+MIN(J8*'Scoring Rules'!$B$23,'Scoring Rules'!$B$24)+IF(M8="是",'Scoring Rules'!$B$25,0)+MIN((IF(K8="",0,LEN(K8)-LEN(SUBSTITUTE(K8,";",""))+1))*'Scoring Rules'!$B$26,'Scoring Rules'!$B$27)+IF(N8="是",'Scoring Rules'!$B$28,0)+IF(O8="是",'Scoring Rules'!$B$29,0)+IF(P8="是",'Scoring Rules'!$B$30,0)+IF(Q8="是",'Scoring Rules'!$B$31,0)+IF(R8="是",'Scoring Rules'!$B$32,0)+IF(S8&gt;=8000,'Scoring Rules'!$B$35,IF(S8&gt;=4000,'Scoring Rules'!$B$36,IF(S8&gt;=2000,'Scoring Rules'!$B$37,'Scoring Rules'!$B$38))))</f>
        <v/>
      </c>
      <c r="F8" s="15" t="inlineStr">
        <is>
          <t>Standard</t>
        </is>
      </c>
      <c r="G8" s="15" t="inlineStr">
        <is>
          <t>Master</t>
        </is>
      </c>
      <c r="H8" s="15" t="n">
        <v>16</v>
      </c>
      <c r="I8" s="15" t="n">
        <v>2</v>
      </c>
      <c r="J8" s="15" t="n">
        <v>15</v>
      </c>
      <c r="K8" s="15" t="inlineStr">
        <is>
          <t>PMP</t>
        </is>
      </c>
      <c r="L8" s="15" t="inlineStr">
        <is>
          <t>是</t>
        </is>
      </c>
      <c r="M8" s="15" t="inlineStr">
        <is>
          <t>是</t>
        </is>
      </c>
      <c r="N8" s="15" t="str"/>
      <c r="O8" s="15" t="inlineStr">
        <is>
          <t>是</t>
        </is>
      </c>
      <c r="P8" s="15" t="str"/>
      <c r="Q8" s="15" t="str"/>
      <c r="R8" s="15" t="inlineStr">
        <is>
          <t>是</t>
        </is>
      </c>
      <c r="S8" s="15" t="n">
        <v>3360</v>
      </c>
      <c r="T8" s="15" t="inlineStr">
        <is>
          <t>Frontend; Backend/API; Data/Database; Cloud/DevOps; Embedded/Systems; Testing/Automation</t>
        </is>
      </c>
      <c r="U8" s="15" t="inlineStr">
        <is>
          <t>Technology; Telecom; Education/Research</t>
        </is>
      </c>
      <c r="V8" s="15" t="inlineStr">
        <is>
          <t>C:\Workspace\java\scrape_indeed\soft_dav_part_1\1030.html#20819</t>
        </is>
      </c>
    </row>
    <row r="9">
      <c r="A9" s="2">
        <f>IF(COUNTIF('Sample 20'!$B$2:$B$21,B9)&gt;0,"是","")</f>
        <v/>
      </c>
      <c r="B9" s="2" t="inlineStr">
        <is>
          <t>20553</t>
        </is>
      </c>
      <c r="C9" s="15" t="inlineStr">
        <is>
          <t>Software Developer</t>
        </is>
      </c>
      <c r="D9" s="15">
        <f>IF(E9&gt;='Scoring Rules'!$B$3,"强",IF(E9&gt;='Scoring Rules'!$B$4,"中","弱"))</f>
        <v/>
      </c>
      <c r="E9" s="125">
        <f>MIN(100,H9+IF(I9&gt;=5,'Scoring Rules'!$B$16,IF(I9&gt;=3,'Scoring Rules'!$B$17,IF(I9&gt;=1,'Scoring Rules'!$B$18,'Scoring Rules'!$B$19)))+IF(L9="是",'Scoring Rules'!$B$22,0)+MIN(J9*'Scoring Rules'!$B$23,'Scoring Rules'!$B$24)+IF(M9="是",'Scoring Rules'!$B$25,0)+MIN((IF(K9="",0,LEN(K9)-LEN(SUBSTITUTE(K9,";",""))+1))*'Scoring Rules'!$B$26,'Scoring Rules'!$B$27)+IF(N9="是",'Scoring Rules'!$B$28,0)+IF(O9="是",'Scoring Rules'!$B$29,0)+IF(P9="是",'Scoring Rules'!$B$30,0)+IF(Q9="是",'Scoring Rules'!$B$31,0)+IF(R9="是",'Scoring Rules'!$B$32,0)+IF(S9&gt;=8000,'Scoring Rules'!$B$35,IF(S9&gt;=4000,'Scoring Rules'!$B$36,IF(S9&gt;=2000,'Scoring Rules'!$B$37,'Scoring Rules'!$B$38))))</f>
        <v/>
      </c>
      <c r="F9" s="15" t="inlineStr">
        <is>
          <t>Standard</t>
        </is>
      </c>
      <c r="G9" s="15" t="inlineStr">
        <is>
          <t>Bachelor</t>
        </is>
      </c>
      <c r="H9" s="15" t="n">
        <v>12</v>
      </c>
      <c r="I9" s="15" t="n">
        <v>4</v>
      </c>
      <c r="J9" s="15" t="n">
        <v>21</v>
      </c>
      <c r="K9" s="15" t="str"/>
      <c r="L9" s="15" t="inlineStr">
        <is>
          <t>是</t>
        </is>
      </c>
      <c r="M9" s="15" t="str"/>
      <c r="N9" s="15" t="str"/>
      <c r="O9" s="15" t="str"/>
      <c r="P9" s="15" t="inlineStr">
        <is>
          <t>是</t>
        </is>
      </c>
      <c r="Q9" s="15" t="inlineStr">
        <is>
          <t>是</t>
        </is>
      </c>
      <c r="R9" s="15" t="inlineStr">
        <is>
          <t>是</t>
        </is>
      </c>
      <c r="S9" s="15" t="n">
        <v>3779</v>
      </c>
      <c r="T9" s="15" t="inlineStr">
        <is>
          <t>Frontend; Backend/API; Mobile; Data/Database; Cloud/DevOps</t>
        </is>
      </c>
      <c r="U9" s="15" t="inlineStr">
        <is>
          <t>Technology; Education/Research</t>
        </is>
      </c>
      <c r="V9" s="15" t="inlineStr">
        <is>
          <t>C:\Workspace\java\scrape_indeed\soft_dav_part_1\1038.html#20827</t>
        </is>
      </c>
    </row>
    <row r="10">
      <c r="A10" s="2">
        <f>IF(COUNTIF('Sample 20'!$B$2:$B$21,B10)&gt;0,"是","")</f>
        <v/>
      </c>
      <c r="B10" s="2" t="inlineStr">
        <is>
          <t>20557</t>
        </is>
      </c>
      <c r="C10" s="15" t="inlineStr">
        <is>
          <t>Software Developer</t>
        </is>
      </c>
      <c r="D10" s="15">
        <f>IF(E10&gt;='Scoring Rules'!$B$3,"强",IF(E10&gt;='Scoring Rules'!$B$4,"中","弱"))</f>
        <v/>
      </c>
      <c r="E10" s="125">
        <f>MIN(100,H10+IF(I10&gt;=5,'Scoring Rules'!$B$16,IF(I10&gt;=3,'Scoring Rules'!$B$17,IF(I10&gt;=1,'Scoring Rules'!$B$18,'Scoring Rules'!$B$19)))+IF(L10="是",'Scoring Rules'!$B$22,0)+MIN(J10*'Scoring Rules'!$B$23,'Scoring Rules'!$B$24)+IF(M10="是",'Scoring Rules'!$B$25,0)+MIN((IF(K10="",0,LEN(K10)-LEN(SUBSTITUTE(K10,";",""))+1))*'Scoring Rules'!$B$26,'Scoring Rules'!$B$27)+IF(N10="是",'Scoring Rules'!$B$28,0)+IF(O10="是",'Scoring Rules'!$B$29,0)+IF(P10="是",'Scoring Rules'!$B$30,0)+IF(Q10="是",'Scoring Rules'!$B$31,0)+IF(R10="是",'Scoring Rules'!$B$32,0)+IF(S10&gt;=8000,'Scoring Rules'!$B$35,IF(S10&gt;=4000,'Scoring Rules'!$B$36,IF(S10&gt;=2000,'Scoring Rules'!$B$37,'Scoring Rules'!$B$38))))</f>
        <v/>
      </c>
      <c r="F10" s="15" t="inlineStr">
        <is>
          <t>Standard</t>
        </is>
      </c>
      <c r="G10" s="15" t="inlineStr">
        <is>
          <t>Bachelor</t>
        </is>
      </c>
      <c r="H10" s="15" t="n">
        <v>12</v>
      </c>
      <c r="I10" s="15" t="n">
        <v>3</v>
      </c>
      <c r="J10" s="15" t="n">
        <v>4</v>
      </c>
      <c r="K10" s="15" t="str"/>
      <c r="L10" s="15" t="inlineStr">
        <is>
          <t>是</t>
        </is>
      </c>
      <c r="M10" s="15" t="str"/>
      <c r="N10" s="15" t="str"/>
      <c r="O10" s="15" t="str"/>
      <c r="P10" s="15" t="str"/>
      <c r="Q10" s="15" t="str"/>
      <c r="R10" s="15" t="inlineStr">
        <is>
          <t>是</t>
        </is>
      </c>
      <c r="S10" s="15" t="n">
        <v>2926</v>
      </c>
      <c r="T10" s="15" t="inlineStr">
        <is>
          <t>Data/Database; Testing/Automation</t>
        </is>
      </c>
      <c r="U10" s="15" t="inlineStr">
        <is>
          <t>Technology; Education/Research</t>
        </is>
      </c>
      <c r="V10" s="15" t="inlineStr">
        <is>
          <t>C:\Workspace\java\scrape_indeed\soft_dav_part_1\1041.html#20831</t>
        </is>
      </c>
    </row>
    <row r="11">
      <c r="A11" s="2">
        <f>IF(COUNTIF('Sample 20'!$B$2:$B$21,B11)&gt;0,"是","")</f>
        <v/>
      </c>
      <c r="B11" s="2" t="inlineStr">
        <is>
          <t>20589</t>
        </is>
      </c>
      <c r="C11" s="15" t="inlineStr">
        <is>
          <t>Software Developer</t>
        </is>
      </c>
      <c r="D11" s="15">
        <f>IF(E11&gt;='Scoring Rules'!$B$3,"强",IF(E11&gt;='Scoring Rules'!$B$4,"中","弱"))</f>
        <v/>
      </c>
      <c r="E11" s="125">
        <f>MIN(100,H11+IF(I11&gt;=5,'Scoring Rules'!$B$16,IF(I11&gt;=3,'Scoring Rules'!$B$17,IF(I11&gt;=1,'Scoring Rules'!$B$18,'Scoring Rules'!$B$19)))+IF(L11="是",'Scoring Rules'!$B$22,0)+MIN(J11*'Scoring Rules'!$B$23,'Scoring Rules'!$B$24)+IF(M11="是",'Scoring Rules'!$B$25,0)+MIN((IF(K11="",0,LEN(K11)-LEN(SUBSTITUTE(K11,";",""))+1))*'Scoring Rules'!$B$26,'Scoring Rules'!$B$27)+IF(N11="是",'Scoring Rules'!$B$28,0)+IF(O11="是",'Scoring Rules'!$B$29,0)+IF(P11="是",'Scoring Rules'!$B$30,0)+IF(Q11="是",'Scoring Rules'!$B$31,0)+IF(R11="是",'Scoring Rules'!$B$32,0)+IF(S11&gt;=8000,'Scoring Rules'!$B$35,IF(S11&gt;=4000,'Scoring Rules'!$B$36,IF(S11&gt;=2000,'Scoring Rules'!$B$37,'Scoring Rules'!$B$38))))</f>
        <v/>
      </c>
      <c r="F11" s="15" t="inlineStr">
        <is>
          <t>Standard</t>
        </is>
      </c>
      <c r="G11" s="15" t="inlineStr">
        <is>
          <t>Bachelor</t>
        </is>
      </c>
      <c r="H11" s="15" t="n">
        <v>12</v>
      </c>
      <c r="I11" s="15" t="n">
        <v>2</v>
      </c>
      <c r="J11" s="15" t="n">
        <v>12</v>
      </c>
      <c r="K11" s="15" t="str"/>
      <c r="L11" s="15" t="inlineStr">
        <is>
          <t>是</t>
        </is>
      </c>
      <c r="M11" s="15" t="str"/>
      <c r="N11" s="15" t="str"/>
      <c r="O11" s="15" t="str"/>
      <c r="P11" s="15" t="str"/>
      <c r="Q11" s="15" t="str"/>
      <c r="R11" s="15" t="str"/>
      <c r="S11" s="15" t="n">
        <v>1789</v>
      </c>
      <c r="T11" s="15" t="inlineStr">
        <is>
          <t>Frontend; Backend/API; Data/Database</t>
        </is>
      </c>
      <c r="U11" s="15" t="inlineStr">
        <is>
          <t>Technology; Education/Research</t>
        </is>
      </c>
      <c r="V11" s="15" t="inlineStr">
        <is>
          <t>C:\Workspace\java\scrape_indeed\soft_dav_part_1\1072.html#20865</t>
        </is>
      </c>
    </row>
    <row r="12">
      <c r="A12" s="2">
        <f>IF(COUNTIF('Sample 20'!$B$2:$B$21,B12)&gt;0,"是","")</f>
        <v/>
      </c>
      <c r="B12" s="2" t="inlineStr">
        <is>
          <t>20595</t>
        </is>
      </c>
      <c r="C12" s="15" t="inlineStr">
        <is>
          <t>Software Developer</t>
        </is>
      </c>
      <c r="D12" s="15">
        <f>IF(E12&gt;='Scoring Rules'!$B$3,"强",IF(E12&gt;='Scoring Rules'!$B$4,"中","弱"))</f>
        <v/>
      </c>
      <c r="E12" s="125">
        <f>MIN(100,H12+IF(I12&gt;=5,'Scoring Rules'!$B$16,IF(I12&gt;=3,'Scoring Rules'!$B$17,IF(I12&gt;=1,'Scoring Rules'!$B$18,'Scoring Rules'!$B$19)))+IF(L12="是",'Scoring Rules'!$B$22,0)+MIN(J12*'Scoring Rules'!$B$23,'Scoring Rules'!$B$24)+IF(M12="是",'Scoring Rules'!$B$25,0)+MIN((IF(K12="",0,LEN(K12)-LEN(SUBSTITUTE(K12,";",""))+1))*'Scoring Rules'!$B$26,'Scoring Rules'!$B$27)+IF(N12="是",'Scoring Rules'!$B$28,0)+IF(O12="是",'Scoring Rules'!$B$29,0)+IF(P12="是",'Scoring Rules'!$B$30,0)+IF(Q12="是",'Scoring Rules'!$B$31,0)+IF(R12="是",'Scoring Rules'!$B$32,0)+IF(S12&gt;=8000,'Scoring Rules'!$B$35,IF(S12&gt;=4000,'Scoring Rules'!$B$36,IF(S12&gt;=2000,'Scoring Rules'!$B$37,'Scoring Rules'!$B$38))))</f>
        <v/>
      </c>
      <c r="F12" s="15" t="inlineStr">
        <is>
          <t>Standard</t>
        </is>
      </c>
      <c r="G12" s="15" t="inlineStr">
        <is>
          <t>Bachelor</t>
        </is>
      </c>
      <c r="H12" s="15" t="n">
        <v>12</v>
      </c>
      <c r="I12" s="15" t="n">
        <v>2</v>
      </c>
      <c r="J12" s="15" t="n">
        <v>11</v>
      </c>
      <c r="K12" s="15" t="str"/>
      <c r="L12" s="15" t="inlineStr">
        <is>
          <t>是</t>
        </is>
      </c>
      <c r="M12" s="15" t="str"/>
      <c r="N12" s="15" t="str"/>
      <c r="O12" s="15" t="str"/>
      <c r="P12" s="15" t="str"/>
      <c r="Q12" s="15" t="str"/>
      <c r="R12" s="15" t="str"/>
      <c r="S12" s="15" t="n">
        <v>1643</v>
      </c>
      <c r="T12" s="15" t="inlineStr">
        <is>
          <t>Frontend; Backend/API; Mobile; Data/Database</t>
        </is>
      </c>
      <c r="U12" s="15" t="inlineStr">
        <is>
          <t>Healthcare; Technology; Consulting</t>
        </is>
      </c>
      <c r="V12" s="15" t="inlineStr">
        <is>
          <t>C:\Workspace\java\scrape_indeed\soft_dav_part_1\108.html#20873</t>
        </is>
      </c>
    </row>
    <row r="13">
      <c r="A13" s="2">
        <f>IF(COUNTIF('Sample 20'!$B$2:$B$21,B13)&gt;0,"是","")</f>
        <v/>
      </c>
      <c r="B13" s="2" t="inlineStr">
        <is>
          <t>20600</t>
        </is>
      </c>
      <c r="C13" s="15" t="inlineStr">
        <is>
          <t>Software Developer</t>
        </is>
      </c>
      <c r="D13" s="15">
        <f>IF(E13&gt;='Scoring Rules'!$B$3,"强",IF(E13&gt;='Scoring Rules'!$B$4,"中","弱"))</f>
        <v/>
      </c>
      <c r="E13" s="125">
        <f>MIN(100,H13+IF(I13&gt;=5,'Scoring Rules'!$B$16,IF(I13&gt;=3,'Scoring Rules'!$B$17,IF(I13&gt;=1,'Scoring Rules'!$B$18,'Scoring Rules'!$B$19)))+IF(L13="是",'Scoring Rules'!$B$22,0)+MIN(J13*'Scoring Rules'!$B$23,'Scoring Rules'!$B$24)+IF(M13="是",'Scoring Rules'!$B$25,0)+MIN((IF(K13="",0,LEN(K13)-LEN(SUBSTITUTE(K13,";",""))+1))*'Scoring Rules'!$B$26,'Scoring Rules'!$B$27)+IF(N13="是",'Scoring Rules'!$B$28,0)+IF(O13="是",'Scoring Rules'!$B$29,0)+IF(P13="是",'Scoring Rules'!$B$30,0)+IF(Q13="是",'Scoring Rules'!$B$31,0)+IF(R13="是",'Scoring Rules'!$B$32,0)+IF(S13&gt;=8000,'Scoring Rules'!$B$35,IF(S13&gt;=4000,'Scoring Rules'!$B$36,IF(S13&gt;=2000,'Scoring Rules'!$B$37,'Scoring Rules'!$B$38))))</f>
        <v/>
      </c>
      <c r="F13" s="15" t="inlineStr">
        <is>
          <t>Standard</t>
        </is>
      </c>
      <c r="G13" s="15" t="inlineStr">
        <is>
          <t>Master</t>
        </is>
      </c>
      <c r="H13" s="15" t="n">
        <v>16</v>
      </c>
      <c r="I13" s="15" t="n">
        <v>3</v>
      </c>
      <c r="J13" s="15" t="n">
        <v>20</v>
      </c>
      <c r="K13" s="15" t="str"/>
      <c r="L13" s="15" t="inlineStr">
        <is>
          <t>是</t>
        </is>
      </c>
      <c r="M13" s="15" t="str"/>
      <c r="N13" s="15" t="str"/>
      <c r="O13" s="15" t="str"/>
      <c r="P13" s="15" t="str"/>
      <c r="Q13" s="15" t="str"/>
      <c r="R13" s="15" t="inlineStr">
        <is>
          <t>是</t>
        </is>
      </c>
      <c r="S13" s="15" t="n">
        <v>3003</v>
      </c>
      <c r="T13" s="15" t="inlineStr">
        <is>
          <t>Frontend; Backend/API; Data/Database; Cloud/DevOps; Machine Learning</t>
        </is>
      </c>
      <c r="U13" s="15" t="inlineStr">
        <is>
          <t>Government/Defense; Technology; Education/Research</t>
        </is>
      </c>
      <c r="V13" s="15" t="inlineStr">
        <is>
          <t>C:\Workspace\java\scrape_indeed\soft_dav_part_1\1084.html#20878</t>
        </is>
      </c>
    </row>
    <row r="14">
      <c r="A14" s="2">
        <f>IF(COUNTIF('Sample 20'!$B$2:$B$21,B14)&gt;0,"是","")</f>
        <v/>
      </c>
      <c r="B14" s="2" t="inlineStr">
        <is>
          <t>20605</t>
        </is>
      </c>
      <c r="C14" s="15" t="inlineStr">
        <is>
          <t>SOFTWARE DEVELOPER</t>
        </is>
      </c>
      <c r="D14" s="15">
        <f>IF(E14&gt;='Scoring Rules'!$B$3,"强",IF(E14&gt;='Scoring Rules'!$B$4,"中","弱"))</f>
        <v/>
      </c>
      <c r="E14" s="125">
        <f>MIN(100,H14+IF(I14&gt;=5,'Scoring Rules'!$B$16,IF(I14&gt;=3,'Scoring Rules'!$B$17,IF(I14&gt;=1,'Scoring Rules'!$B$18,'Scoring Rules'!$B$19)))+IF(L14="是",'Scoring Rules'!$B$22,0)+MIN(J14*'Scoring Rules'!$B$23,'Scoring Rules'!$B$24)+IF(M14="是",'Scoring Rules'!$B$25,0)+MIN((IF(K14="",0,LEN(K14)-LEN(SUBSTITUTE(K14,";",""))+1))*'Scoring Rules'!$B$26,'Scoring Rules'!$B$27)+IF(N14="是",'Scoring Rules'!$B$28,0)+IF(O14="是",'Scoring Rules'!$B$29,0)+IF(P14="是",'Scoring Rules'!$B$30,0)+IF(Q14="是",'Scoring Rules'!$B$31,0)+IF(R14="是",'Scoring Rules'!$B$32,0)+IF(S14&gt;=8000,'Scoring Rules'!$B$35,IF(S14&gt;=4000,'Scoring Rules'!$B$36,IF(S14&gt;=2000,'Scoring Rules'!$B$37,'Scoring Rules'!$B$38))))</f>
        <v/>
      </c>
      <c r="F14" s="15" t="inlineStr">
        <is>
          <t>Standard</t>
        </is>
      </c>
      <c r="G14" s="15" t="inlineStr">
        <is>
          <t>Master</t>
        </is>
      </c>
      <c r="H14" s="15" t="n">
        <v>16</v>
      </c>
      <c r="I14" s="15" t="n">
        <v>5</v>
      </c>
      <c r="J14" s="15" t="n">
        <v>20</v>
      </c>
      <c r="K14" s="15" t="str"/>
      <c r="L14" s="15" t="inlineStr">
        <is>
          <t>是</t>
        </is>
      </c>
      <c r="M14" s="15" t="str"/>
      <c r="N14" s="15" t="str"/>
      <c r="O14" s="15" t="str"/>
      <c r="P14" s="15" t="str"/>
      <c r="Q14" s="15" t="inlineStr">
        <is>
          <t>是</t>
        </is>
      </c>
      <c r="R14" s="15" t="inlineStr">
        <is>
          <t>是</t>
        </is>
      </c>
      <c r="S14" s="15" t="n">
        <v>4912</v>
      </c>
      <c r="T14" s="15" t="inlineStr">
        <is>
          <t>Frontend; Backend/API; Data/Database; Testing/Automation</t>
        </is>
      </c>
      <c r="U14" s="15" t="inlineStr">
        <is>
          <t>Finance/Banking; Technology; Education/Research</t>
        </is>
      </c>
      <c r="V14" s="15" t="inlineStr">
        <is>
          <t>C:\Workspace\java\scrape_indeed\soft_dav_part_1\1089.html#20883</t>
        </is>
      </c>
    </row>
    <row r="15">
      <c r="A15" s="2">
        <f>IF(COUNTIF('Sample 20'!$B$2:$B$21,B15)&gt;0,"是","")</f>
        <v/>
      </c>
      <c r="B15" s="2" t="inlineStr">
        <is>
          <t>20611</t>
        </is>
      </c>
      <c r="C15" s="15" t="inlineStr">
        <is>
          <t>Software Developer</t>
        </is>
      </c>
      <c r="D15" s="15">
        <f>IF(E15&gt;='Scoring Rules'!$B$3,"强",IF(E15&gt;='Scoring Rules'!$B$4,"中","弱"))</f>
        <v/>
      </c>
      <c r="E15" s="125">
        <f>MIN(100,H15+IF(I15&gt;=5,'Scoring Rules'!$B$16,IF(I15&gt;=3,'Scoring Rules'!$B$17,IF(I15&gt;=1,'Scoring Rules'!$B$18,'Scoring Rules'!$B$19)))+IF(L15="是",'Scoring Rules'!$B$22,0)+MIN(J15*'Scoring Rules'!$B$23,'Scoring Rules'!$B$24)+IF(M15="是",'Scoring Rules'!$B$25,0)+MIN((IF(K15="",0,LEN(K15)-LEN(SUBSTITUTE(K15,";",""))+1))*'Scoring Rules'!$B$26,'Scoring Rules'!$B$27)+IF(N15="是",'Scoring Rules'!$B$28,0)+IF(O15="是",'Scoring Rules'!$B$29,0)+IF(P15="是",'Scoring Rules'!$B$30,0)+IF(Q15="是",'Scoring Rules'!$B$31,0)+IF(R15="是",'Scoring Rules'!$B$32,0)+IF(S15&gt;=8000,'Scoring Rules'!$B$35,IF(S15&gt;=4000,'Scoring Rules'!$B$36,IF(S15&gt;=2000,'Scoring Rules'!$B$37,'Scoring Rules'!$B$38))))</f>
        <v/>
      </c>
      <c r="F15" s="15" t="inlineStr">
        <is>
          <t>Standard</t>
        </is>
      </c>
      <c r="G15" s="15" t="inlineStr">
        <is>
          <t>Associate</t>
        </is>
      </c>
      <c r="H15" s="15" t="n">
        <v>8</v>
      </c>
      <c r="I15" s="15" t="n">
        <v>9</v>
      </c>
      <c r="J15" s="15" t="n">
        <v>19</v>
      </c>
      <c r="K15" s="15" t="str"/>
      <c r="L15" s="15" t="inlineStr">
        <is>
          <t>是</t>
        </is>
      </c>
      <c r="M15" s="15" t="str"/>
      <c r="N15" s="15" t="str"/>
      <c r="O15" s="15" t="str"/>
      <c r="P15" s="15" t="inlineStr">
        <is>
          <t>是</t>
        </is>
      </c>
      <c r="Q15" s="15" t="inlineStr">
        <is>
          <t>是</t>
        </is>
      </c>
      <c r="R15" s="15" t="inlineStr">
        <is>
          <t>是</t>
        </is>
      </c>
      <c r="S15" s="15" t="n">
        <v>3951</v>
      </c>
      <c r="T15" s="15" t="inlineStr">
        <is>
          <t>Frontend; Backend/API; Data/Database; Testing/Automation</t>
        </is>
      </c>
      <c r="U15" s="15" t="inlineStr">
        <is>
          <t>Technology; Education/Research</t>
        </is>
      </c>
      <c r="V15" s="15" t="inlineStr">
        <is>
          <t>C:\Workspace\java\scrape_indeed\soft_dav_part_1\1095.html#20890</t>
        </is>
      </c>
    </row>
    <row r="16">
      <c r="A16" s="2">
        <f>IF(COUNTIF('Sample 20'!$B$2:$B$21,B16)&gt;0,"是","")</f>
        <v/>
      </c>
      <c r="B16" s="2" t="inlineStr">
        <is>
          <t>20612</t>
        </is>
      </c>
      <c r="C16" s="15" t="inlineStr">
        <is>
          <t>Software Developer</t>
        </is>
      </c>
      <c r="D16" s="15">
        <f>IF(E16&gt;='Scoring Rules'!$B$3,"强",IF(E16&gt;='Scoring Rules'!$B$4,"中","弱"))</f>
        <v/>
      </c>
      <c r="E16" s="125">
        <f>MIN(100,H16+IF(I16&gt;=5,'Scoring Rules'!$B$16,IF(I16&gt;=3,'Scoring Rules'!$B$17,IF(I16&gt;=1,'Scoring Rules'!$B$18,'Scoring Rules'!$B$19)))+IF(L16="是",'Scoring Rules'!$B$22,0)+MIN(J16*'Scoring Rules'!$B$23,'Scoring Rules'!$B$24)+IF(M16="是",'Scoring Rules'!$B$25,0)+MIN((IF(K16="",0,LEN(K16)-LEN(SUBSTITUTE(K16,";",""))+1))*'Scoring Rules'!$B$26,'Scoring Rules'!$B$27)+IF(N16="是",'Scoring Rules'!$B$28,0)+IF(O16="是",'Scoring Rules'!$B$29,0)+IF(P16="是",'Scoring Rules'!$B$30,0)+IF(Q16="是",'Scoring Rules'!$B$31,0)+IF(R16="是",'Scoring Rules'!$B$32,0)+IF(S16&gt;=8000,'Scoring Rules'!$B$35,IF(S16&gt;=4000,'Scoring Rules'!$B$36,IF(S16&gt;=2000,'Scoring Rules'!$B$37,'Scoring Rules'!$B$38))))</f>
        <v/>
      </c>
      <c r="F16" s="15" t="inlineStr">
        <is>
          <t>Standard</t>
        </is>
      </c>
      <c r="G16" s="15" t="inlineStr">
        <is>
          <t>Master</t>
        </is>
      </c>
      <c r="H16" s="15" t="n">
        <v>16</v>
      </c>
      <c r="I16" s="15" t="n">
        <v>1</v>
      </c>
      <c r="J16" s="15" t="n">
        <v>16</v>
      </c>
      <c r="K16" s="15" t="str"/>
      <c r="L16" s="15" t="inlineStr">
        <is>
          <t>是</t>
        </is>
      </c>
      <c r="M16" s="15" t="str"/>
      <c r="N16" s="15" t="str"/>
      <c r="O16" s="15" t="str"/>
      <c r="P16" s="15" t="str"/>
      <c r="Q16" s="15" t="inlineStr">
        <is>
          <t>是</t>
        </is>
      </c>
      <c r="R16" s="15" t="inlineStr">
        <is>
          <t>是</t>
        </is>
      </c>
      <c r="S16" s="15" t="n">
        <v>3240</v>
      </c>
      <c r="T16" s="15" t="inlineStr">
        <is>
          <t>Frontend; Backend/API; Data/Database; Cloud/DevOps; Testing/Automation</t>
        </is>
      </c>
      <c r="U16" s="15" t="inlineStr">
        <is>
          <t>Technology; Education/Research</t>
        </is>
      </c>
      <c r="V16" s="15" t="inlineStr">
        <is>
          <t>C:\Workspace\java\scrape_indeed\soft_dav_part_1\1096.html#20891</t>
        </is>
      </c>
    </row>
    <row r="17">
      <c r="A17" s="2">
        <f>IF(COUNTIF('Sample 20'!$B$2:$B$21,B17)&gt;0,"是","")</f>
        <v/>
      </c>
      <c r="B17" s="2" t="inlineStr">
        <is>
          <t>20613</t>
        </is>
      </c>
      <c r="C17" s="15" t="inlineStr">
        <is>
          <t>Software Developer</t>
        </is>
      </c>
      <c r="D17" s="15">
        <f>IF(E17&gt;='Scoring Rules'!$B$3,"强",IF(E17&gt;='Scoring Rules'!$B$4,"中","弱"))</f>
        <v/>
      </c>
      <c r="E17" s="125">
        <f>MIN(100,H17+IF(I17&gt;=5,'Scoring Rules'!$B$16,IF(I17&gt;=3,'Scoring Rules'!$B$17,IF(I17&gt;=1,'Scoring Rules'!$B$18,'Scoring Rules'!$B$19)))+IF(L17="是",'Scoring Rules'!$B$22,0)+MIN(J17*'Scoring Rules'!$B$23,'Scoring Rules'!$B$24)+IF(M17="是",'Scoring Rules'!$B$25,0)+MIN((IF(K17="",0,LEN(K17)-LEN(SUBSTITUTE(K17,";",""))+1))*'Scoring Rules'!$B$26,'Scoring Rules'!$B$27)+IF(N17="是",'Scoring Rules'!$B$28,0)+IF(O17="是",'Scoring Rules'!$B$29,0)+IF(P17="是",'Scoring Rules'!$B$30,0)+IF(Q17="是",'Scoring Rules'!$B$31,0)+IF(R17="是",'Scoring Rules'!$B$32,0)+IF(S17&gt;=8000,'Scoring Rules'!$B$35,IF(S17&gt;=4000,'Scoring Rules'!$B$36,IF(S17&gt;=2000,'Scoring Rules'!$B$37,'Scoring Rules'!$B$38))))</f>
        <v/>
      </c>
      <c r="F17" s="15" t="inlineStr">
        <is>
          <t>Standard</t>
        </is>
      </c>
      <c r="G17" s="15" t="inlineStr">
        <is>
          <t>Unspecified</t>
        </is>
      </c>
      <c r="H17" s="15" t="n">
        <v>0</v>
      </c>
      <c r="I17" s="15" t="n">
        <v>3</v>
      </c>
      <c r="J17" s="15" t="n">
        <v>16</v>
      </c>
      <c r="K17" s="15" t="str"/>
      <c r="L17" s="15" t="str"/>
      <c r="M17" s="15" t="str"/>
      <c r="N17" s="15" t="str"/>
      <c r="O17" s="15" t="str"/>
      <c r="P17" s="15" t="str"/>
      <c r="Q17" s="15" t="str"/>
      <c r="R17" s="15" t="inlineStr">
        <is>
          <t>是</t>
        </is>
      </c>
      <c r="S17" s="15" t="n">
        <v>3794</v>
      </c>
      <c r="T17" s="15" t="inlineStr">
        <is>
          <t>Frontend; Backend/API; Data/Database; Embedded/Systems; Testing/Automation</t>
        </is>
      </c>
      <c r="U17" s="15" t="inlineStr">
        <is>
          <t>Finance/Banking; Technology</t>
        </is>
      </c>
      <c r="V17" s="15" t="inlineStr">
        <is>
          <t>C:\Workspace\java\scrape_indeed\soft_dav_part_1\1097.html#20892</t>
        </is>
      </c>
    </row>
    <row r="18">
      <c r="A18" s="2">
        <f>IF(COUNTIF('Sample 20'!$B$2:$B$21,B18)&gt;0,"是","")</f>
        <v/>
      </c>
      <c r="B18" s="2" t="inlineStr">
        <is>
          <t>20616</t>
        </is>
      </c>
      <c r="C18" s="15" t="inlineStr">
        <is>
          <t>Software developer</t>
        </is>
      </c>
      <c r="D18" s="15">
        <f>IF(E18&gt;='Scoring Rules'!$B$3,"强",IF(E18&gt;='Scoring Rules'!$B$4,"中","弱"))</f>
        <v/>
      </c>
      <c r="E18" s="125">
        <f>MIN(100,H18+IF(I18&gt;=5,'Scoring Rules'!$B$16,IF(I18&gt;=3,'Scoring Rules'!$B$17,IF(I18&gt;=1,'Scoring Rules'!$B$18,'Scoring Rules'!$B$19)))+IF(L18="是",'Scoring Rules'!$B$22,0)+MIN(J18*'Scoring Rules'!$B$23,'Scoring Rules'!$B$24)+IF(M18="是",'Scoring Rules'!$B$25,0)+MIN((IF(K18="",0,LEN(K18)-LEN(SUBSTITUTE(K18,";",""))+1))*'Scoring Rules'!$B$26,'Scoring Rules'!$B$27)+IF(N18="是",'Scoring Rules'!$B$28,0)+IF(O18="是",'Scoring Rules'!$B$29,0)+IF(P18="是",'Scoring Rules'!$B$30,0)+IF(Q18="是",'Scoring Rules'!$B$31,0)+IF(R18="是",'Scoring Rules'!$B$32,0)+IF(S18&gt;=8000,'Scoring Rules'!$B$35,IF(S18&gt;=4000,'Scoring Rules'!$B$36,IF(S18&gt;=2000,'Scoring Rules'!$B$37,'Scoring Rules'!$B$38))))</f>
        <v/>
      </c>
      <c r="F18" s="15" t="inlineStr">
        <is>
          <t>Standard</t>
        </is>
      </c>
      <c r="G18" s="15" t="inlineStr">
        <is>
          <t>Unspecified</t>
        </is>
      </c>
      <c r="H18" s="15" t="n">
        <v>0</v>
      </c>
      <c r="I18" s="15" t="n">
        <v>1</v>
      </c>
      <c r="J18" s="15" t="n">
        <v>19</v>
      </c>
      <c r="K18" s="15" t="str"/>
      <c r="L18" s="15" t="str"/>
      <c r="M18" s="15" t="str"/>
      <c r="N18" s="15" t="str"/>
      <c r="O18" s="15" t="str"/>
      <c r="P18" s="15" t="str"/>
      <c r="Q18" s="15" t="str"/>
      <c r="R18" s="15" t="inlineStr">
        <is>
          <t>是</t>
        </is>
      </c>
      <c r="S18" s="15" t="n">
        <v>4663</v>
      </c>
      <c r="T18" s="15" t="inlineStr">
        <is>
          <t>Frontend; Backend/API; Mobile; Data/Database; Embedded/Systems</t>
        </is>
      </c>
      <c r="U18" s="15" t="inlineStr">
        <is>
          <t>Finance/Banking; Technology; Education/Research</t>
        </is>
      </c>
      <c r="V18" s="15" t="inlineStr">
        <is>
          <t>C:\Workspace\java\scrape_indeed\soft_dav_part_1\11.html#20895</t>
        </is>
      </c>
    </row>
    <row r="19">
      <c r="A19" s="2">
        <f>IF(COUNTIF('Sample 20'!$B$2:$B$21,B19)&gt;0,"是","")</f>
        <v/>
      </c>
      <c r="B19" s="2" t="inlineStr">
        <is>
          <t>20619</t>
        </is>
      </c>
      <c r="C19" s="15" t="inlineStr">
        <is>
          <t>Software Developer</t>
        </is>
      </c>
      <c r="D19" s="15">
        <f>IF(E19&gt;='Scoring Rules'!$B$3,"强",IF(E19&gt;='Scoring Rules'!$B$4,"中","弱"))</f>
        <v/>
      </c>
      <c r="E19" s="125">
        <f>MIN(100,H19+IF(I19&gt;=5,'Scoring Rules'!$B$16,IF(I19&gt;=3,'Scoring Rules'!$B$17,IF(I19&gt;=1,'Scoring Rules'!$B$18,'Scoring Rules'!$B$19)))+IF(L19="是",'Scoring Rules'!$B$22,0)+MIN(J19*'Scoring Rules'!$B$23,'Scoring Rules'!$B$24)+IF(M19="是",'Scoring Rules'!$B$25,0)+MIN((IF(K19="",0,LEN(K19)-LEN(SUBSTITUTE(K19,";",""))+1))*'Scoring Rules'!$B$26,'Scoring Rules'!$B$27)+IF(N19="是",'Scoring Rules'!$B$28,0)+IF(O19="是",'Scoring Rules'!$B$29,0)+IF(P19="是",'Scoring Rules'!$B$30,0)+IF(Q19="是",'Scoring Rules'!$B$31,0)+IF(R19="是",'Scoring Rules'!$B$32,0)+IF(S19&gt;=8000,'Scoring Rules'!$B$35,IF(S19&gt;=4000,'Scoring Rules'!$B$36,IF(S19&gt;=2000,'Scoring Rules'!$B$37,'Scoring Rules'!$B$38))))</f>
        <v/>
      </c>
      <c r="F19" s="15" t="inlineStr">
        <is>
          <t>Standard</t>
        </is>
      </c>
      <c r="G19" s="15" t="inlineStr">
        <is>
          <t>Bachelor</t>
        </is>
      </c>
      <c r="H19" s="15" t="n">
        <v>12</v>
      </c>
      <c r="I19" s="15" t="n">
        <v>4</v>
      </c>
      <c r="J19" s="15" t="n">
        <v>12</v>
      </c>
      <c r="K19" s="15" t="str"/>
      <c r="L19" s="15" t="inlineStr">
        <is>
          <t>是</t>
        </is>
      </c>
      <c r="M19" s="15" t="str"/>
      <c r="N19" s="15" t="str"/>
      <c r="O19" s="15" t="inlineStr">
        <is>
          <t>是</t>
        </is>
      </c>
      <c r="P19" s="15" t="inlineStr">
        <is>
          <t>是</t>
        </is>
      </c>
      <c r="Q19" s="15" t="inlineStr">
        <is>
          <t>是</t>
        </is>
      </c>
      <c r="R19" s="15" t="inlineStr">
        <is>
          <t>是</t>
        </is>
      </c>
      <c r="S19" s="15" t="n">
        <v>2031</v>
      </c>
      <c r="T19" s="15" t="inlineStr">
        <is>
          <t>Frontend; Backend/API; Cloud/DevOps</t>
        </is>
      </c>
      <c r="U19" s="15" t="inlineStr">
        <is>
          <t>Technology; Education/Research</t>
        </is>
      </c>
      <c r="V19" s="15" t="inlineStr">
        <is>
          <t>C:\Workspace\java\scrape_indeed\soft_dav_part_1\1101.html#20898</t>
        </is>
      </c>
    </row>
    <row r="20">
      <c r="A20" s="2">
        <f>IF(COUNTIF('Sample 20'!$B$2:$B$21,B20)&gt;0,"是","")</f>
        <v/>
      </c>
      <c r="B20" s="2" t="inlineStr">
        <is>
          <t>20625</t>
        </is>
      </c>
      <c r="C20" s="15" t="inlineStr">
        <is>
          <t>Software Developer</t>
        </is>
      </c>
      <c r="D20" s="15">
        <f>IF(E20&gt;='Scoring Rules'!$B$3,"强",IF(E20&gt;='Scoring Rules'!$B$4,"中","弱"))</f>
        <v/>
      </c>
      <c r="E20" s="125">
        <f>MIN(100,H20+IF(I20&gt;=5,'Scoring Rules'!$B$16,IF(I20&gt;=3,'Scoring Rules'!$B$17,IF(I20&gt;=1,'Scoring Rules'!$B$18,'Scoring Rules'!$B$19)))+IF(L20="是",'Scoring Rules'!$B$22,0)+MIN(J20*'Scoring Rules'!$B$23,'Scoring Rules'!$B$24)+IF(M20="是",'Scoring Rules'!$B$25,0)+MIN((IF(K20="",0,LEN(K20)-LEN(SUBSTITUTE(K20,";",""))+1))*'Scoring Rules'!$B$26,'Scoring Rules'!$B$27)+IF(N20="是",'Scoring Rules'!$B$28,0)+IF(O20="是",'Scoring Rules'!$B$29,0)+IF(P20="是",'Scoring Rules'!$B$30,0)+IF(Q20="是",'Scoring Rules'!$B$31,0)+IF(R20="是",'Scoring Rules'!$B$32,0)+IF(S20&gt;=8000,'Scoring Rules'!$B$35,IF(S20&gt;=4000,'Scoring Rules'!$B$36,IF(S20&gt;=2000,'Scoring Rules'!$B$37,'Scoring Rules'!$B$38))))</f>
        <v/>
      </c>
      <c r="F20" s="15" t="inlineStr">
        <is>
          <t>Standard</t>
        </is>
      </c>
      <c r="G20" s="15" t="inlineStr">
        <is>
          <t>Master</t>
        </is>
      </c>
      <c r="H20" s="15" t="n">
        <v>16</v>
      </c>
      <c r="I20" s="15" t="n">
        <v>2</v>
      </c>
      <c r="J20" s="15" t="n">
        <v>10</v>
      </c>
      <c r="K20" s="15" t="str"/>
      <c r="L20" s="15" t="str"/>
      <c r="M20" s="15" t="str"/>
      <c r="N20" s="15" t="str"/>
      <c r="O20" s="15" t="str"/>
      <c r="P20" s="15" t="inlineStr">
        <is>
          <t>是</t>
        </is>
      </c>
      <c r="Q20" s="15" t="str"/>
      <c r="R20" s="15" t="inlineStr">
        <is>
          <t>是</t>
        </is>
      </c>
      <c r="S20" s="15" t="n">
        <v>1503</v>
      </c>
      <c r="T20" s="15" t="inlineStr">
        <is>
          <t>Backend/API; Data/Database; Cloud/DevOps; Machine Learning</t>
        </is>
      </c>
      <c r="U20" s="15" t="inlineStr">
        <is>
          <t>Technology; Education/Research</t>
        </is>
      </c>
      <c r="V20" s="15" t="inlineStr">
        <is>
          <t>C:\Workspace\java\scrape_indeed\soft_dav_part_1\1107.html#20904</t>
        </is>
      </c>
    </row>
    <row r="21">
      <c r="A21" s="2">
        <f>IF(COUNTIF('Sample 20'!$B$2:$B$21,B21)&gt;0,"是","")</f>
        <v/>
      </c>
      <c r="B21" s="2" t="inlineStr">
        <is>
          <t>20629</t>
        </is>
      </c>
      <c r="C21" s="15" t="inlineStr">
        <is>
          <t>Software Developer</t>
        </is>
      </c>
      <c r="D21" s="15">
        <f>IF(E21&gt;='Scoring Rules'!$B$3,"强",IF(E21&gt;='Scoring Rules'!$B$4,"中","弱"))</f>
        <v/>
      </c>
      <c r="E21" s="125">
        <f>MIN(100,H21+IF(I21&gt;=5,'Scoring Rules'!$B$16,IF(I21&gt;=3,'Scoring Rules'!$B$17,IF(I21&gt;=1,'Scoring Rules'!$B$18,'Scoring Rules'!$B$19)))+IF(L21="是",'Scoring Rules'!$B$22,0)+MIN(J21*'Scoring Rules'!$B$23,'Scoring Rules'!$B$24)+IF(M21="是",'Scoring Rules'!$B$25,0)+MIN((IF(K21="",0,LEN(K21)-LEN(SUBSTITUTE(K21,";",""))+1))*'Scoring Rules'!$B$26,'Scoring Rules'!$B$27)+IF(N21="是",'Scoring Rules'!$B$28,0)+IF(O21="是",'Scoring Rules'!$B$29,0)+IF(P21="是",'Scoring Rules'!$B$30,0)+IF(Q21="是",'Scoring Rules'!$B$31,0)+IF(R21="是",'Scoring Rules'!$B$32,0)+IF(S21&gt;=8000,'Scoring Rules'!$B$35,IF(S21&gt;=4000,'Scoring Rules'!$B$36,IF(S21&gt;=2000,'Scoring Rules'!$B$37,'Scoring Rules'!$B$38))))</f>
        <v/>
      </c>
      <c r="F21" s="15" t="inlineStr">
        <is>
          <t>Standard</t>
        </is>
      </c>
      <c r="G21" s="15" t="inlineStr">
        <is>
          <t>Bachelor</t>
        </is>
      </c>
      <c r="H21" s="15" t="n">
        <v>12</v>
      </c>
      <c r="I21" s="15" t="n">
        <v>3</v>
      </c>
      <c r="J21" s="15" t="n">
        <v>9</v>
      </c>
      <c r="K21" s="15" t="str"/>
      <c r="L21" s="15" t="inlineStr">
        <is>
          <t>是</t>
        </is>
      </c>
      <c r="M21" s="15" t="str"/>
      <c r="N21" s="15" t="str"/>
      <c r="O21" s="15" t="str"/>
      <c r="P21" s="15" t="str"/>
      <c r="Q21" s="15" t="str"/>
      <c r="R21" s="15" t="inlineStr">
        <is>
          <t>是</t>
        </is>
      </c>
      <c r="S21" s="15" t="n">
        <v>2123</v>
      </c>
      <c r="T21" s="15" t="inlineStr">
        <is>
          <t>Frontend; Backend/API; Data/Database; Embedded/Systems</t>
        </is>
      </c>
      <c r="U21" s="15" t="inlineStr">
        <is>
          <t>Technology; Education/Research</t>
        </is>
      </c>
      <c r="V21" s="15" t="inlineStr">
        <is>
          <t>C:\Workspace\java\scrape_indeed\soft_dav_part_1\1110.html#20908</t>
        </is>
      </c>
    </row>
    <row r="22">
      <c r="A22" s="2">
        <f>IF(COUNTIF('Sample 20'!$B$2:$B$21,B22)&gt;0,"是","")</f>
        <v/>
      </c>
      <c r="B22" s="2" t="inlineStr">
        <is>
          <t>20630</t>
        </is>
      </c>
      <c r="C22" s="15" t="inlineStr">
        <is>
          <t>Software Developer</t>
        </is>
      </c>
      <c r="D22" s="15">
        <f>IF(E22&gt;='Scoring Rules'!$B$3,"强",IF(E22&gt;='Scoring Rules'!$B$4,"中","弱"))</f>
        <v/>
      </c>
      <c r="E22" s="125">
        <f>MIN(100,H22+IF(I22&gt;=5,'Scoring Rules'!$B$16,IF(I22&gt;=3,'Scoring Rules'!$B$17,IF(I22&gt;=1,'Scoring Rules'!$B$18,'Scoring Rules'!$B$19)))+IF(L22="是",'Scoring Rules'!$B$22,0)+MIN(J22*'Scoring Rules'!$B$23,'Scoring Rules'!$B$24)+IF(M22="是",'Scoring Rules'!$B$25,0)+MIN((IF(K22="",0,LEN(K22)-LEN(SUBSTITUTE(K22,";",""))+1))*'Scoring Rules'!$B$26,'Scoring Rules'!$B$27)+IF(N22="是",'Scoring Rules'!$B$28,0)+IF(O22="是",'Scoring Rules'!$B$29,0)+IF(P22="是",'Scoring Rules'!$B$30,0)+IF(Q22="是",'Scoring Rules'!$B$31,0)+IF(R22="是",'Scoring Rules'!$B$32,0)+IF(S22&gt;=8000,'Scoring Rules'!$B$35,IF(S22&gt;=4000,'Scoring Rules'!$B$36,IF(S22&gt;=2000,'Scoring Rules'!$B$37,'Scoring Rules'!$B$38))))</f>
        <v/>
      </c>
      <c r="F22" s="15" t="inlineStr">
        <is>
          <t>Standard</t>
        </is>
      </c>
      <c r="G22" s="15" t="inlineStr">
        <is>
          <t>Master</t>
        </is>
      </c>
      <c r="H22" s="15" t="n">
        <v>16</v>
      </c>
      <c r="I22" s="15" t="n">
        <v>2</v>
      </c>
      <c r="J22" s="15" t="n">
        <v>18</v>
      </c>
      <c r="K22" s="15" t="str"/>
      <c r="L22" s="15" t="inlineStr">
        <is>
          <t>是</t>
        </is>
      </c>
      <c r="M22" s="15" t="str"/>
      <c r="N22" s="15" t="str"/>
      <c r="O22" s="15" t="inlineStr">
        <is>
          <t>是</t>
        </is>
      </c>
      <c r="P22" s="15" t="inlineStr">
        <is>
          <t>是</t>
        </is>
      </c>
      <c r="Q22" s="15" t="str"/>
      <c r="R22" s="15" t="inlineStr">
        <is>
          <t>是</t>
        </is>
      </c>
      <c r="S22" s="15" t="n">
        <v>3048</v>
      </c>
      <c r="T22" s="15" t="inlineStr">
        <is>
          <t>Frontend; Backend/API; Data/Database; Cloud/DevOps</t>
        </is>
      </c>
      <c r="U22" s="15" t="inlineStr">
        <is>
          <t>Technology; Education/Research</t>
        </is>
      </c>
      <c r="V22" s="15" t="inlineStr">
        <is>
          <t>C:\Workspace\java\scrape_indeed\soft_dav_part_1\1111.html#20909</t>
        </is>
      </c>
    </row>
    <row r="23">
      <c r="A23" s="2">
        <f>IF(COUNTIF('Sample 20'!$B$2:$B$21,B23)&gt;0,"是","")</f>
        <v/>
      </c>
      <c r="B23" s="2" t="inlineStr">
        <is>
          <t>20631</t>
        </is>
      </c>
      <c r="C23" s="15" t="inlineStr">
        <is>
          <t>Software Developer</t>
        </is>
      </c>
      <c r="D23" s="15">
        <f>IF(E23&gt;='Scoring Rules'!$B$3,"强",IF(E23&gt;='Scoring Rules'!$B$4,"中","弱"))</f>
        <v/>
      </c>
      <c r="E23" s="125">
        <f>MIN(100,H23+IF(I23&gt;=5,'Scoring Rules'!$B$16,IF(I23&gt;=3,'Scoring Rules'!$B$17,IF(I23&gt;=1,'Scoring Rules'!$B$18,'Scoring Rules'!$B$19)))+IF(L23="是",'Scoring Rules'!$B$22,0)+MIN(J23*'Scoring Rules'!$B$23,'Scoring Rules'!$B$24)+IF(M23="是",'Scoring Rules'!$B$25,0)+MIN((IF(K23="",0,LEN(K23)-LEN(SUBSTITUTE(K23,";",""))+1))*'Scoring Rules'!$B$26,'Scoring Rules'!$B$27)+IF(N23="是",'Scoring Rules'!$B$28,0)+IF(O23="是",'Scoring Rules'!$B$29,0)+IF(P23="是",'Scoring Rules'!$B$30,0)+IF(Q23="是",'Scoring Rules'!$B$31,0)+IF(R23="是",'Scoring Rules'!$B$32,0)+IF(S23&gt;=8000,'Scoring Rules'!$B$35,IF(S23&gt;=4000,'Scoring Rules'!$B$36,IF(S23&gt;=2000,'Scoring Rules'!$B$37,'Scoring Rules'!$B$38))))</f>
        <v/>
      </c>
      <c r="F23" s="15" t="inlineStr">
        <is>
          <t>Standard</t>
        </is>
      </c>
      <c r="G23" s="15" t="inlineStr">
        <is>
          <t>Master</t>
        </is>
      </c>
      <c r="H23" s="15" t="n">
        <v>16</v>
      </c>
      <c r="I23" s="15" t="n">
        <v>3</v>
      </c>
      <c r="J23" s="15" t="n">
        <v>27</v>
      </c>
      <c r="K23" s="15" t="str"/>
      <c r="L23" s="15" t="str"/>
      <c r="M23" s="15" t="str"/>
      <c r="N23" s="15" t="str"/>
      <c r="O23" s="15" t="str"/>
      <c r="P23" s="15" t="str"/>
      <c r="Q23" s="15" t="str"/>
      <c r="R23" s="15" t="str"/>
      <c r="S23" s="15" t="n">
        <v>2900</v>
      </c>
      <c r="T23" s="15" t="inlineStr">
        <is>
          <t>Frontend; Backend/API; Data/Database; Cloud/DevOps; Testing/Automation</t>
        </is>
      </c>
      <c r="U23" s="15" t="inlineStr">
        <is>
          <t>Technology; Education/Research; Retail/E-commerce</t>
        </is>
      </c>
      <c r="V23" s="15" t="inlineStr">
        <is>
          <t>C:\Workspace\java\scrape_indeed\soft_dav_part_1\1112.html#20910</t>
        </is>
      </c>
    </row>
    <row r="24">
      <c r="A24" s="2">
        <f>IF(COUNTIF('Sample 20'!$B$2:$B$21,B24)&gt;0,"是","")</f>
        <v/>
      </c>
      <c r="B24" s="2" t="inlineStr">
        <is>
          <t>20632</t>
        </is>
      </c>
      <c r="C24" s="15" t="inlineStr">
        <is>
          <t>Software Developer</t>
        </is>
      </c>
      <c r="D24" s="15">
        <f>IF(E24&gt;='Scoring Rules'!$B$3,"强",IF(E24&gt;='Scoring Rules'!$B$4,"中","弱"))</f>
        <v/>
      </c>
      <c r="E24" s="125">
        <f>MIN(100,H24+IF(I24&gt;=5,'Scoring Rules'!$B$16,IF(I24&gt;=3,'Scoring Rules'!$B$17,IF(I24&gt;=1,'Scoring Rules'!$B$18,'Scoring Rules'!$B$19)))+IF(L24="是",'Scoring Rules'!$B$22,0)+MIN(J24*'Scoring Rules'!$B$23,'Scoring Rules'!$B$24)+IF(M24="是",'Scoring Rules'!$B$25,0)+MIN((IF(K24="",0,LEN(K24)-LEN(SUBSTITUTE(K24,";",""))+1))*'Scoring Rules'!$B$26,'Scoring Rules'!$B$27)+IF(N24="是",'Scoring Rules'!$B$28,0)+IF(O24="是",'Scoring Rules'!$B$29,0)+IF(P24="是",'Scoring Rules'!$B$30,0)+IF(Q24="是",'Scoring Rules'!$B$31,0)+IF(R24="是",'Scoring Rules'!$B$32,0)+IF(S24&gt;=8000,'Scoring Rules'!$B$35,IF(S24&gt;=4000,'Scoring Rules'!$B$36,IF(S24&gt;=2000,'Scoring Rules'!$B$37,'Scoring Rules'!$B$38))))</f>
        <v/>
      </c>
      <c r="F24" s="15" t="inlineStr">
        <is>
          <t>Standard</t>
        </is>
      </c>
      <c r="G24" s="15" t="inlineStr">
        <is>
          <t>Bachelor</t>
        </is>
      </c>
      <c r="H24" s="15" t="n">
        <v>12</v>
      </c>
      <c r="I24" s="15" t="n">
        <v>4</v>
      </c>
      <c r="J24" s="15" t="n">
        <v>15</v>
      </c>
      <c r="K24" s="15" t="str"/>
      <c r="L24" s="15" t="inlineStr">
        <is>
          <t>是</t>
        </is>
      </c>
      <c r="M24" s="15" t="str"/>
      <c r="N24" s="15" t="str"/>
      <c r="O24" s="15" t="str"/>
      <c r="P24" s="15" t="inlineStr">
        <is>
          <t>是</t>
        </is>
      </c>
      <c r="Q24" s="15" t="inlineStr">
        <is>
          <t>是</t>
        </is>
      </c>
      <c r="R24" s="15" t="inlineStr">
        <is>
          <t>是</t>
        </is>
      </c>
      <c r="S24" s="15" t="n">
        <v>1782</v>
      </c>
      <c r="T24" s="15" t="inlineStr">
        <is>
          <t>Frontend; Backend/API; Data/Database; Embedded/Systems; Machine Learning</t>
        </is>
      </c>
      <c r="U24" s="15" t="inlineStr">
        <is>
          <t>Finance/Banking; Technology; Education/Research</t>
        </is>
      </c>
      <c r="V24" s="15" t="inlineStr">
        <is>
          <t>C:\Workspace\java\scrape_indeed\soft_dav_part_1\1113.html#20911</t>
        </is>
      </c>
    </row>
    <row r="25">
      <c r="A25" s="2">
        <f>IF(COUNTIF('Sample 20'!$B$2:$B$21,B25)&gt;0,"是","")</f>
        <v/>
      </c>
      <c r="B25" s="2" t="inlineStr">
        <is>
          <t>20634</t>
        </is>
      </c>
      <c r="C25" s="15" t="inlineStr">
        <is>
          <t>Software Developer</t>
        </is>
      </c>
      <c r="D25" s="15">
        <f>IF(E25&gt;='Scoring Rules'!$B$3,"强",IF(E25&gt;='Scoring Rules'!$B$4,"中","弱"))</f>
        <v/>
      </c>
      <c r="E25" s="125">
        <f>MIN(100,H25+IF(I25&gt;=5,'Scoring Rules'!$B$16,IF(I25&gt;=3,'Scoring Rules'!$B$17,IF(I25&gt;=1,'Scoring Rules'!$B$18,'Scoring Rules'!$B$19)))+IF(L25="是",'Scoring Rules'!$B$22,0)+MIN(J25*'Scoring Rules'!$B$23,'Scoring Rules'!$B$24)+IF(M25="是",'Scoring Rules'!$B$25,0)+MIN((IF(K25="",0,LEN(K25)-LEN(SUBSTITUTE(K25,";",""))+1))*'Scoring Rules'!$B$26,'Scoring Rules'!$B$27)+IF(N25="是",'Scoring Rules'!$B$28,0)+IF(O25="是",'Scoring Rules'!$B$29,0)+IF(P25="是",'Scoring Rules'!$B$30,0)+IF(Q25="是",'Scoring Rules'!$B$31,0)+IF(R25="是",'Scoring Rules'!$B$32,0)+IF(S25&gt;=8000,'Scoring Rules'!$B$35,IF(S25&gt;=4000,'Scoring Rules'!$B$36,IF(S25&gt;=2000,'Scoring Rules'!$B$37,'Scoring Rules'!$B$38))))</f>
        <v/>
      </c>
      <c r="F25" s="15" t="inlineStr">
        <is>
          <t>Standard</t>
        </is>
      </c>
      <c r="G25" s="15" t="inlineStr">
        <is>
          <t>Bachelor</t>
        </is>
      </c>
      <c r="H25" s="15" t="n">
        <v>12</v>
      </c>
      <c r="I25" s="15" t="n">
        <v>3</v>
      </c>
      <c r="J25" s="15" t="n">
        <v>28</v>
      </c>
      <c r="K25" s="15" t="str"/>
      <c r="L25" s="15" t="inlineStr">
        <is>
          <t>是</t>
        </is>
      </c>
      <c r="M25" s="15" t="str"/>
      <c r="N25" s="15" t="str"/>
      <c r="O25" s="15" t="str"/>
      <c r="P25" s="15" t="inlineStr">
        <is>
          <t>是</t>
        </is>
      </c>
      <c r="Q25" s="15" t="inlineStr">
        <is>
          <t>是</t>
        </is>
      </c>
      <c r="R25" s="15" t="inlineStr">
        <is>
          <t>是</t>
        </is>
      </c>
      <c r="S25" s="15" t="n">
        <v>3250</v>
      </c>
      <c r="T25" s="15" t="inlineStr">
        <is>
          <t>Frontend; Backend/API; Mobile; Data/Database; Cloud/DevOps</t>
        </is>
      </c>
      <c r="U25" s="15" t="inlineStr">
        <is>
          <t>Technology; Education/Research</t>
        </is>
      </c>
      <c r="V25" s="15" t="inlineStr">
        <is>
          <t>C:\Workspace\java\scrape_indeed\soft_dav_part_1\1115.html#20913</t>
        </is>
      </c>
    </row>
    <row r="26">
      <c r="A26" s="2">
        <f>IF(COUNTIF('Sample 20'!$B$2:$B$21,B26)&gt;0,"是","")</f>
        <v/>
      </c>
      <c r="B26" s="2" t="inlineStr">
        <is>
          <t>20649</t>
        </is>
      </c>
      <c r="C26" s="15" t="inlineStr">
        <is>
          <t>Software Developer</t>
        </is>
      </c>
      <c r="D26" s="15">
        <f>IF(E26&gt;='Scoring Rules'!$B$3,"强",IF(E26&gt;='Scoring Rules'!$B$4,"中","弱"))</f>
        <v/>
      </c>
      <c r="E26" s="125">
        <f>MIN(100,H26+IF(I26&gt;=5,'Scoring Rules'!$B$16,IF(I26&gt;=3,'Scoring Rules'!$B$17,IF(I26&gt;=1,'Scoring Rules'!$B$18,'Scoring Rules'!$B$19)))+IF(L26="是",'Scoring Rules'!$B$22,0)+MIN(J26*'Scoring Rules'!$B$23,'Scoring Rules'!$B$24)+IF(M26="是",'Scoring Rules'!$B$25,0)+MIN((IF(K26="",0,LEN(K26)-LEN(SUBSTITUTE(K26,";",""))+1))*'Scoring Rules'!$B$26,'Scoring Rules'!$B$27)+IF(N26="是",'Scoring Rules'!$B$28,0)+IF(O26="是",'Scoring Rules'!$B$29,0)+IF(P26="是",'Scoring Rules'!$B$30,0)+IF(Q26="是",'Scoring Rules'!$B$31,0)+IF(R26="是",'Scoring Rules'!$B$32,0)+IF(S26&gt;=8000,'Scoring Rules'!$B$35,IF(S26&gt;=4000,'Scoring Rules'!$B$36,IF(S26&gt;=2000,'Scoring Rules'!$B$37,'Scoring Rules'!$B$38))))</f>
        <v/>
      </c>
      <c r="F26" s="15" t="inlineStr">
        <is>
          <t>Standard</t>
        </is>
      </c>
      <c r="G26" s="15" t="inlineStr">
        <is>
          <t>Master</t>
        </is>
      </c>
      <c r="H26" s="15" t="n">
        <v>16</v>
      </c>
      <c r="I26" s="15" t="n">
        <v>2</v>
      </c>
      <c r="J26" s="15" t="n">
        <v>14</v>
      </c>
      <c r="K26" s="15" t="str"/>
      <c r="L26" s="15" t="inlineStr">
        <is>
          <t>是</t>
        </is>
      </c>
      <c r="M26" s="15" t="str"/>
      <c r="N26" s="15" t="str"/>
      <c r="O26" s="15" t="str"/>
      <c r="P26" s="15" t="inlineStr">
        <is>
          <t>是</t>
        </is>
      </c>
      <c r="Q26" s="15" t="str"/>
      <c r="R26" s="15" t="inlineStr">
        <is>
          <t>是</t>
        </is>
      </c>
      <c r="S26" s="15" t="n">
        <v>2040</v>
      </c>
      <c r="T26" s="15" t="inlineStr">
        <is>
          <t>Frontend; Backend/API; Data/Database; Machine Learning</t>
        </is>
      </c>
      <c r="U26" s="15" t="inlineStr">
        <is>
          <t>Technology; Education/Research</t>
        </is>
      </c>
      <c r="V26" s="15" t="inlineStr">
        <is>
          <t>C:\Workspace\java\scrape_indeed\soft_dav_part_1\1129.html#20928</t>
        </is>
      </c>
    </row>
    <row r="27">
      <c r="A27" s="2">
        <f>IF(COUNTIF('Sample 20'!$B$2:$B$21,B27)&gt;0,"是","")</f>
        <v/>
      </c>
      <c r="B27" s="2" t="inlineStr">
        <is>
          <t>20652</t>
        </is>
      </c>
      <c r="C27" s="15" t="inlineStr">
        <is>
          <t>Software Developer</t>
        </is>
      </c>
      <c r="D27" s="15">
        <f>IF(E27&gt;='Scoring Rules'!$B$3,"强",IF(E27&gt;='Scoring Rules'!$B$4,"中","弱"))</f>
        <v/>
      </c>
      <c r="E27" s="125">
        <f>MIN(100,H27+IF(I27&gt;=5,'Scoring Rules'!$B$16,IF(I27&gt;=3,'Scoring Rules'!$B$17,IF(I27&gt;=1,'Scoring Rules'!$B$18,'Scoring Rules'!$B$19)))+IF(L27="是",'Scoring Rules'!$B$22,0)+MIN(J27*'Scoring Rules'!$B$23,'Scoring Rules'!$B$24)+IF(M27="是",'Scoring Rules'!$B$25,0)+MIN((IF(K27="",0,LEN(K27)-LEN(SUBSTITUTE(K27,";",""))+1))*'Scoring Rules'!$B$26,'Scoring Rules'!$B$27)+IF(N27="是",'Scoring Rules'!$B$28,0)+IF(O27="是",'Scoring Rules'!$B$29,0)+IF(P27="是",'Scoring Rules'!$B$30,0)+IF(Q27="是",'Scoring Rules'!$B$31,0)+IF(R27="是",'Scoring Rules'!$B$32,0)+IF(S27&gt;=8000,'Scoring Rules'!$B$35,IF(S27&gt;=4000,'Scoring Rules'!$B$36,IF(S27&gt;=2000,'Scoring Rules'!$B$37,'Scoring Rules'!$B$38))))</f>
        <v/>
      </c>
      <c r="F27" s="15" t="inlineStr">
        <is>
          <t>Standard</t>
        </is>
      </c>
      <c r="G27" s="15" t="inlineStr">
        <is>
          <t>Unspecified</t>
        </is>
      </c>
      <c r="H27" s="15" t="n">
        <v>2</v>
      </c>
      <c r="I27" s="15" t="n">
        <v>2</v>
      </c>
      <c r="J27" s="15" t="n">
        <v>11</v>
      </c>
      <c r="K27" s="15" t="str"/>
      <c r="L27" s="15" t="inlineStr">
        <is>
          <t>是</t>
        </is>
      </c>
      <c r="M27" s="15" t="str"/>
      <c r="N27" s="15" t="str"/>
      <c r="O27" s="15" t="inlineStr">
        <is>
          <t>是</t>
        </is>
      </c>
      <c r="P27" s="15" t="str"/>
      <c r="Q27" s="15" t="str"/>
      <c r="R27" s="15" t="inlineStr">
        <is>
          <t>是</t>
        </is>
      </c>
      <c r="S27" s="15" t="n">
        <v>4541</v>
      </c>
      <c r="T27" s="15" t="inlineStr">
        <is>
          <t>Frontend; Backend/API; Data/Database</t>
        </is>
      </c>
      <c r="U27" s="15" t="inlineStr">
        <is>
          <t>Technology; Education/Research</t>
        </is>
      </c>
      <c r="V27" s="15" t="inlineStr">
        <is>
          <t>C:\Workspace\java\scrape_indeed\soft_dav_part_1\1131.html#20931</t>
        </is>
      </c>
    </row>
    <row r="28">
      <c r="A28" s="2">
        <f>IF(COUNTIF('Sample 20'!$B$2:$B$21,B28)&gt;0,"是","")</f>
        <v/>
      </c>
      <c r="B28" s="2" t="inlineStr">
        <is>
          <t>20653</t>
        </is>
      </c>
      <c r="C28" s="15" t="inlineStr">
        <is>
          <t>Software Developer</t>
        </is>
      </c>
      <c r="D28" s="15">
        <f>IF(E28&gt;='Scoring Rules'!$B$3,"强",IF(E28&gt;='Scoring Rules'!$B$4,"中","弱"))</f>
        <v/>
      </c>
      <c r="E28" s="125">
        <f>MIN(100,H28+IF(I28&gt;=5,'Scoring Rules'!$B$16,IF(I28&gt;=3,'Scoring Rules'!$B$17,IF(I28&gt;=1,'Scoring Rules'!$B$18,'Scoring Rules'!$B$19)))+IF(L28="是",'Scoring Rules'!$B$22,0)+MIN(J28*'Scoring Rules'!$B$23,'Scoring Rules'!$B$24)+IF(M28="是",'Scoring Rules'!$B$25,0)+MIN((IF(K28="",0,LEN(K28)-LEN(SUBSTITUTE(K28,";",""))+1))*'Scoring Rules'!$B$26,'Scoring Rules'!$B$27)+IF(N28="是",'Scoring Rules'!$B$28,0)+IF(O28="是",'Scoring Rules'!$B$29,0)+IF(P28="是",'Scoring Rules'!$B$30,0)+IF(Q28="是",'Scoring Rules'!$B$31,0)+IF(R28="是",'Scoring Rules'!$B$32,0)+IF(S28&gt;=8000,'Scoring Rules'!$B$35,IF(S28&gt;=4000,'Scoring Rules'!$B$36,IF(S28&gt;=2000,'Scoring Rules'!$B$37,'Scoring Rules'!$B$38))))</f>
        <v/>
      </c>
      <c r="F28" s="15" t="inlineStr">
        <is>
          <t>Standard</t>
        </is>
      </c>
      <c r="G28" s="15" t="inlineStr">
        <is>
          <t>Bachelor</t>
        </is>
      </c>
      <c r="H28" s="15" t="n">
        <v>12</v>
      </c>
      <c r="I28" s="15" t="n">
        <v>2</v>
      </c>
      <c r="J28" s="15" t="n">
        <v>12</v>
      </c>
      <c r="K28" s="15" t="str"/>
      <c r="L28" s="15" t="inlineStr">
        <is>
          <t>是</t>
        </is>
      </c>
      <c r="M28" s="15" t="str"/>
      <c r="N28" s="15" t="str"/>
      <c r="O28" s="15" t="str"/>
      <c r="P28" s="15" t="str"/>
      <c r="Q28" s="15" t="inlineStr">
        <is>
          <t>是</t>
        </is>
      </c>
      <c r="R28" s="15" t="inlineStr">
        <is>
          <t>是</t>
        </is>
      </c>
      <c r="S28" s="15" t="n">
        <v>1213</v>
      </c>
      <c r="T28" s="15" t="inlineStr">
        <is>
          <t>Frontend; Backend/API; Data/Database</t>
        </is>
      </c>
      <c r="U28" s="15" t="inlineStr">
        <is>
          <t>Technology; Education/Research</t>
        </is>
      </c>
      <c r="V28" s="15" t="inlineStr">
        <is>
          <t>C:\Workspace\java\scrape_indeed\soft_dav_part_1\1132.html#20932</t>
        </is>
      </c>
    </row>
    <row r="29">
      <c r="A29" s="2">
        <f>IF(COUNTIF('Sample 20'!$B$2:$B$21,B29)&gt;0,"是","")</f>
        <v/>
      </c>
      <c r="B29" s="2" t="inlineStr">
        <is>
          <t>20654</t>
        </is>
      </c>
      <c r="C29" s="15" t="inlineStr">
        <is>
          <t>Software Developer</t>
        </is>
      </c>
      <c r="D29" s="15">
        <f>IF(E29&gt;='Scoring Rules'!$B$3,"强",IF(E29&gt;='Scoring Rules'!$B$4,"中","弱"))</f>
        <v/>
      </c>
      <c r="E29" s="125">
        <f>MIN(100,H29+IF(I29&gt;=5,'Scoring Rules'!$B$16,IF(I29&gt;=3,'Scoring Rules'!$B$17,IF(I29&gt;=1,'Scoring Rules'!$B$18,'Scoring Rules'!$B$19)))+IF(L29="是",'Scoring Rules'!$B$22,0)+MIN(J29*'Scoring Rules'!$B$23,'Scoring Rules'!$B$24)+IF(M29="是",'Scoring Rules'!$B$25,0)+MIN((IF(K29="",0,LEN(K29)-LEN(SUBSTITUTE(K29,";",""))+1))*'Scoring Rules'!$B$26,'Scoring Rules'!$B$27)+IF(N29="是",'Scoring Rules'!$B$28,0)+IF(O29="是",'Scoring Rules'!$B$29,0)+IF(P29="是",'Scoring Rules'!$B$30,0)+IF(Q29="是",'Scoring Rules'!$B$31,0)+IF(R29="是",'Scoring Rules'!$B$32,0)+IF(S29&gt;=8000,'Scoring Rules'!$B$35,IF(S29&gt;=4000,'Scoring Rules'!$B$36,IF(S29&gt;=2000,'Scoring Rules'!$B$37,'Scoring Rules'!$B$38))))</f>
        <v/>
      </c>
      <c r="F29" s="15" t="inlineStr">
        <is>
          <t>Standard</t>
        </is>
      </c>
      <c r="G29" s="15" t="inlineStr">
        <is>
          <t>Unspecified</t>
        </is>
      </c>
      <c r="H29" s="15" t="n">
        <v>2</v>
      </c>
      <c r="I29" s="15" t="n">
        <v>1</v>
      </c>
      <c r="J29" s="15" t="n">
        <v>19</v>
      </c>
      <c r="K29" s="15" t="str"/>
      <c r="L29" s="15" t="inlineStr">
        <is>
          <t>是</t>
        </is>
      </c>
      <c r="M29" s="15" t="str"/>
      <c r="N29" s="15" t="str"/>
      <c r="O29" s="15" t="str"/>
      <c r="P29" s="15" t="str"/>
      <c r="Q29" s="15" t="inlineStr">
        <is>
          <t>是</t>
        </is>
      </c>
      <c r="R29" s="15" t="inlineStr">
        <is>
          <t>是</t>
        </is>
      </c>
      <c r="S29" s="15" t="n">
        <v>2246</v>
      </c>
      <c r="T29" s="15" t="inlineStr">
        <is>
          <t>Frontend; Backend/API; Data/Database; Cloud/DevOps; Embedded/Systems; Testing/Automation</t>
        </is>
      </c>
      <c r="U29" s="15" t="inlineStr">
        <is>
          <t>Finance/Banking; Technology; Education/Research</t>
        </is>
      </c>
      <c r="V29" s="15" t="inlineStr">
        <is>
          <t>C:\Workspace\java\scrape_indeed\soft_dav_part_1\1133.html#20933</t>
        </is>
      </c>
    </row>
    <row r="30">
      <c r="A30" s="2">
        <f>IF(COUNTIF('Sample 20'!$B$2:$B$21,B30)&gt;0,"是","")</f>
        <v/>
      </c>
      <c r="B30" s="2" t="inlineStr">
        <is>
          <t>20656</t>
        </is>
      </c>
      <c r="C30" s="15" t="inlineStr">
        <is>
          <t>Software Developer</t>
        </is>
      </c>
      <c r="D30" s="15">
        <f>IF(E30&gt;='Scoring Rules'!$B$3,"强",IF(E30&gt;='Scoring Rules'!$B$4,"中","弱"))</f>
        <v/>
      </c>
      <c r="E30" s="125">
        <f>MIN(100,H30+IF(I30&gt;=5,'Scoring Rules'!$B$16,IF(I30&gt;=3,'Scoring Rules'!$B$17,IF(I30&gt;=1,'Scoring Rules'!$B$18,'Scoring Rules'!$B$19)))+IF(L30="是",'Scoring Rules'!$B$22,0)+MIN(J30*'Scoring Rules'!$B$23,'Scoring Rules'!$B$24)+IF(M30="是",'Scoring Rules'!$B$25,0)+MIN((IF(K30="",0,LEN(K30)-LEN(SUBSTITUTE(K30,";",""))+1))*'Scoring Rules'!$B$26,'Scoring Rules'!$B$27)+IF(N30="是",'Scoring Rules'!$B$28,0)+IF(O30="是",'Scoring Rules'!$B$29,0)+IF(P30="是",'Scoring Rules'!$B$30,0)+IF(Q30="是",'Scoring Rules'!$B$31,0)+IF(R30="是",'Scoring Rules'!$B$32,0)+IF(S30&gt;=8000,'Scoring Rules'!$B$35,IF(S30&gt;=4000,'Scoring Rules'!$B$36,IF(S30&gt;=2000,'Scoring Rules'!$B$37,'Scoring Rules'!$B$38))))</f>
        <v/>
      </c>
      <c r="F30" s="15" t="inlineStr">
        <is>
          <t>Standard</t>
        </is>
      </c>
      <c r="G30" s="15" t="inlineStr">
        <is>
          <t>Bachelor</t>
        </is>
      </c>
      <c r="H30" s="15" t="n">
        <v>12</v>
      </c>
      <c r="I30" s="15" t="n">
        <v>4</v>
      </c>
      <c r="J30" s="15" t="n">
        <v>7</v>
      </c>
      <c r="K30" s="15" t="str"/>
      <c r="L30" s="15" t="inlineStr">
        <is>
          <t>是</t>
        </is>
      </c>
      <c r="M30" s="15" t="inlineStr">
        <is>
          <t>是</t>
        </is>
      </c>
      <c r="N30" s="15" t="str"/>
      <c r="O30" s="15" t="inlineStr">
        <is>
          <t>是</t>
        </is>
      </c>
      <c r="P30" s="15" t="str"/>
      <c r="Q30" s="15" t="str"/>
      <c r="R30" s="15" t="inlineStr">
        <is>
          <t>是</t>
        </is>
      </c>
      <c r="S30" s="15" t="n">
        <v>3024</v>
      </c>
      <c r="T30" s="15" t="inlineStr">
        <is>
          <t>Frontend; Data/Database</t>
        </is>
      </c>
      <c r="U30" s="15" t="inlineStr">
        <is>
          <t>Technology</t>
        </is>
      </c>
      <c r="V30" s="15" t="inlineStr">
        <is>
          <t>C:\Workspace\java\scrape_indeed\soft_dav_part_1\1135.html#20935</t>
        </is>
      </c>
    </row>
    <row r="31">
      <c r="A31" s="2">
        <f>IF(COUNTIF('Sample 20'!$B$2:$B$21,B31)&gt;0,"是","")</f>
        <v/>
      </c>
      <c r="B31" s="2" t="inlineStr">
        <is>
          <t>20657</t>
        </is>
      </c>
      <c r="C31" s="15" t="inlineStr">
        <is>
          <t>Software Developer</t>
        </is>
      </c>
      <c r="D31" s="15">
        <f>IF(E31&gt;='Scoring Rules'!$B$3,"强",IF(E31&gt;='Scoring Rules'!$B$4,"中","弱"))</f>
        <v/>
      </c>
      <c r="E31" s="125">
        <f>MIN(100,H31+IF(I31&gt;=5,'Scoring Rules'!$B$16,IF(I31&gt;=3,'Scoring Rules'!$B$17,IF(I31&gt;=1,'Scoring Rules'!$B$18,'Scoring Rules'!$B$19)))+IF(L31="是",'Scoring Rules'!$B$22,0)+MIN(J31*'Scoring Rules'!$B$23,'Scoring Rules'!$B$24)+IF(M31="是",'Scoring Rules'!$B$25,0)+MIN((IF(K31="",0,LEN(K31)-LEN(SUBSTITUTE(K31,";",""))+1))*'Scoring Rules'!$B$26,'Scoring Rules'!$B$27)+IF(N31="是",'Scoring Rules'!$B$28,0)+IF(O31="是",'Scoring Rules'!$B$29,0)+IF(P31="是",'Scoring Rules'!$B$30,0)+IF(Q31="是",'Scoring Rules'!$B$31,0)+IF(R31="是",'Scoring Rules'!$B$32,0)+IF(S31&gt;=8000,'Scoring Rules'!$B$35,IF(S31&gt;=4000,'Scoring Rules'!$B$36,IF(S31&gt;=2000,'Scoring Rules'!$B$37,'Scoring Rules'!$B$38))))</f>
        <v/>
      </c>
      <c r="F31" s="15" t="inlineStr">
        <is>
          <t>Standard</t>
        </is>
      </c>
      <c r="G31" s="15" t="inlineStr">
        <is>
          <t>Master</t>
        </is>
      </c>
      <c r="H31" s="15" t="n">
        <v>16</v>
      </c>
      <c r="I31" s="15" t="n">
        <v>1</v>
      </c>
      <c r="J31" s="15" t="n">
        <v>16</v>
      </c>
      <c r="K31" s="15" t="str"/>
      <c r="L31" s="15" t="inlineStr">
        <is>
          <t>是</t>
        </is>
      </c>
      <c r="M31" s="15" t="str"/>
      <c r="N31" s="15" t="str"/>
      <c r="O31" s="15" t="str"/>
      <c r="P31" s="15" t="str"/>
      <c r="Q31" s="15" t="str"/>
      <c r="R31" s="15" t="inlineStr">
        <is>
          <t>是</t>
        </is>
      </c>
      <c r="S31" s="15" t="n">
        <v>2164</v>
      </c>
      <c r="T31" s="15" t="inlineStr">
        <is>
          <t>Frontend; Backend/API; Mobile; Data/Database; Cloud/DevOps</t>
        </is>
      </c>
      <c r="U31" s="15" t="inlineStr">
        <is>
          <t>Technology; Education/Research</t>
        </is>
      </c>
      <c r="V31" s="15" t="inlineStr">
        <is>
          <t>C:\Workspace\java\scrape_indeed\soft_dav_part_1\1136.html#20936</t>
        </is>
      </c>
    </row>
    <row r="32">
      <c r="A32" s="2">
        <f>IF(COUNTIF('Sample 20'!$B$2:$B$21,B32)&gt;0,"是","")</f>
        <v/>
      </c>
      <c r="B32" s="2" t="inlineStr">
        <is>
          <t>20659</t>
        </is>
      </c>
      <c r="C32" s="15" t="inlineStr">
        <is>
          <t>Software Developer</t>
        </is>
      </c>
      <c r="D32" s="15">
        <f>IF(E32&gt;='Scoring Rules'!$B$3,"强",IF(E32&gt;='Scoring Rules'!$B$4,"中","弱"))</f>
        <v/>
      </c>
      <c r="E32" s="125">
        <f>MIN(100,H32+IF(I32&gt;=5,'Scoring Rules'!$B$16,IF(I32&gt;=3,'Scoring Rules'!$B$17,IF(I32&gt;=1,'Scoring Rules'!$B$18,'Scoring Rules'!$B$19)))+IF(L32="是",'Scoring Rules'!$B$22,0)+MIN(J32*'Scoring Rules'!$B$23,'Scoring Rules'!$B$24)+IF(M32="是",'Scoring Rules'!$B$25,0)+MIN((IF(K32="",0,LEN(K32)-LEN(SUBSTITUTE(K32,";",""))+1))*'Scoring Rules'!$B$26,'Scoring Rules'!$B$27)+IF(N32="是",'Scoring Rules'!$B$28,0)+IF(O32="是",'Scoring Rules'!$B$29,0)+IF(P32="是",'Scoring Rules'!$B$30,0)+IF(Q32="是",'Scoring Rules'!$B$31,0)+IF(R32="是",'Scoring Rules'!$B$32,0)+IF(S32&gt;=8000,'Scoring Rules'!$B$35,IF(S32&gt;=4000,'Scoring Rules'!$B$36,IF(S32&gt;=2000,'Scoring Rules'!$B$37,'Scoring Rules'!$B$38))))</f>
        <v/>
      </c>
      <c r="F32" s="15" t="inlineStr">
        <is>
          <t>Standard</t>
        </is>
      </c>
      <c r="G32" s="15" t="inlineStr">
        <is>
          <t>High School</t>
        </is>
      </c>
      <c r="H32" s="15" t="n">
        <v>5</v>
      </c>
      <c r="I32" s="15" t="n">
        <v>2</v>
      </c>
      <c r="J32" s="15" t="n">
        <v>15</v>
      </c>
      <c r="K32" s="15" t="str"/>
      <c r="L32" s="15" t="str"/>
      <c r="M32" s="15" t="str"/>
      <c r="N32" s="15" t="str"/>
      <c r="O32" s="15" t="str"/>
      <c r="P32" s="15" t="inlineStr">
        <is>
          <t>是</t>
        </is>
      </c>
      <c r="Q32" s="15" t="inlineStr">
        <is>
          <t>是</t>
        </is>
      </c>
      <c r="R32" s="15" t="inlineStr">
        <is>
          <t>是</t>
        </is>
      </c>
      <c r="S32" s="15" t="n">
        <v>1650</v>
      </c>
      <c r="T32" s="15" t="inlineStr">
        <is>
          <t>Frontend; Backend/API; Mobile; Data/Database</t>
        </is>
      </c>
      <c r="U32" s="15" t="inlineStr">
        <is>
          <t>Technology; Education/Research</t>
        </is>
      </c>
      <c r="V32" s="15" t="inlineStr">
        <is>
          <t>C:\Workspace\java\scrape_indeed\soft_dav_part_1\1138.html#20938</t>
        </is>
      </c>
    </row>
    <row r="33">
      <c r="A33" s="2">
        <f>IF(COUNTIF('Sample 20'!$B$2:$B$21,B33)&gt;0,"是","")</f>
        <v/>
      </c>
      <c r="B33" s="2" t="inlineStr">
        <is>
          <t>20663</t>
        </is>
      </c>
      <c r="C33" s="15" t="inlineStr">
        <is>
          <t>Software Developer</t>
        </is>
      </c>
      <c r="D33" s="15">
        <f>IF(E33&gt;='Scoring Rules'!$B$3,"强",IF(E33&gt;='Scoring Rules'!$B$4,"中","弱"))</f>
        <v/>
      </c>
      <c r="E33" s="125">
        <f>MIN(100,H33+IF(I33&gt;=5,'Scoring Rules'!$B$16,IF(I33&gt;=3,'Scoring Rules'!$B$17,IF(I33&gt;=1,'Scoring Rules'!$B$18,'Scoring Rules'!$B$19)))+IF(L33="是",'Scoring Rules'!$B$22,0)+MIN(J33*'Scoring Rules'!$B$23,'Scoring Rules'!$B$24)+IF(M33="是",'Scoring Rules'!$B$25,0)+MIN((IF(K33="",0,LEN(K33)-LEN(SUBSTITUTE(K33,";",""))+1))*'Scoring Rules'!$B$26,'Scoring Rules'!$B$27)+IF(N33="是",'Scoring Rules'!$B$28,0)+IF(O33="是",'Scoring Rules'!$B$29,0)+IF(P33="是",'Scoring Rules'!$B$30,0)+IF(Q33="是",'Scoring Rules'!$B$31,0)+IF(R33="是",'Scoring Rules'!$B$32,0)+IF(S33&gt;=8000,'Scoring Rules'!$B$35,IF(S33&gt;=4000,'Scoring Rules'!$B$36,IF(S33&gt;=2000,'Scoring Rules'!$B$37,'Scoring Rules'!$B$38))))</f>
        <v/>
      </c>
      <c r="F33" s="15" t="inlineStr">
        <is>
          <t>Standard</t>
        </is>
      </c>
      <c r="G33" s="15" t="inlineStr">
        <is>
          <t>Bachelor</t>
        </is>
      </c>
      <c r="H33" s="15" t="n">
        <v>12</v>
      </c>
      <c r="I33" s="15" t="n">
        <v>5</v>
      </c>
      <c r="J33" s="15" t="n">
        <v>12</v>
      </c>
      <c r="K33" s="15" t="str"/>
      <c r="L33" s="15" t="inlineStr">
        <is>
          <t>是</t>
        </is>
      </c>
      <c r="M33" s="15" t="str"/>
      <c r="N33" s="15" t="str"/>
      <c r="O33" s="15" t="str"/>
      <c r="P33" s="15" t="str"/>
      <c r="Q33" s="15" t="str"/>
      <c r="R33" s="15" t="str"/>
      <c r="S33" s="15" t="n">
        <v>1895</v>
      </c>
      <c r="T33" s="15" t="inlineStr">
        <is>
          <t>Frontend; Backend/API; Data/Database</t>
        </is>
      </c>
      <c r="U33" s="15" t="inlineStr">
        <is>
          <t>Technology; Education/Research</t>
        </is>
      </c>
      <c r="V33" s="15" t="inlineStr">
        <is>
          <t>C:\Workspace\java\scrape_indeed\soft_dav_part_1\1141.html#20942</t>
        </is>
      </c>
    </row>
    <row r="34">
      <c r="A34" s="2">
        <f>IF(COUNTIF('Sample 20'!$B$2:$B$21,B34)&gt;0,"是","")</f>
        <v/>
      </c>
      <c r="B34" s="2" t="inlineStr">
        <is>
          <t>20665</t>
        </is>
      </c>
      <c r="C34" s="15" t="inlineStr">
        <is>
          <t>Software Developer</t>
        </is>
      </c>
      <c r="D34" s="15">
        <f>IF(E34&gt;='Scoring Rules'!$B$3,"强",IF(E34&gt;='Scoring Rules'!$B$4,"中","弱"))</f>
        <v/>
      </c>
      <c r="E34" s="125">
        <f>MIN(100,H34+IF(I34&gt;=5,'Scoring Rules'!$B$16,IF(I34&gt;=3,'Scoring Rules'!$B$17,IF(I34&gt;=1,'Scoring Rules'!$B$18,'Scoring Rules'!$B$19)))+IF(L34="是",'Scoring Rules'!$B$22,0)+MIN(J34*'Scoring Rules'!$B$23,'Scoring Rules'!$B$24)+IF(M34="是",'Scoring Rules'!$B$25,0)+MIN((IF(K34="",0,LEN(K34)-LEN(SUBSTITUTE(K34,";",""))+1))*'Scoring Rules'!$B$26,'Scoring Rules'!$B$27)+IF(N34="是",'Scoring Rules'!$B$28,0)+IF(O34="是",'Scoring Rules'!$B$29,0)+IF(P34="是",'Scoring Rules'!$B$30,0)+IF(Q34="是",'Scoring Rules'!$B$31,0)+IF(R34="是",'Scoring Rules'!$B$32,0)+IF(S34&gt;=8000,'Scoring Rules'!$B$35,IF(S34&gt;=4000,'Scoring Rules'!$B$36,IF(S34&gt;=2000,'Scoring Rules'!$B$37,'Scoring Rules'!$B$38))))</f>
        <v/>
      </c>
      <c r="F34" s="15" t="inlineStr">
        <is>
          <t>Standard</t>
        </is>
      </c>
      <c r="G34" s="15" t="inlineStr">
        <is>
          <t>Bachelor</t>
        </is>
      </c>
      <c r="H34" s="15" t="n">
        <v>12</v>
      </c>
      <c r="I34" s="15" t="n">
        <v>3</v>
      </c>
      <c r="J34" s="15" t="n">
        <v>10</v>
      </c>
      <c r="K34" s="15" t="str"/>
      <c r="L34" s="15" t="inlineStr">
        <is>
          <t>是</t>
        </is>
      </c>
      <c r="M34" s="15" t="str"/>
      <c r="N34" s="15" t="str"/>
      <c r="O34" s="15" t="str"/>
      <c r="P34" s="15" t="inlineStr">
        <is>
          <t>是</t>
        </is>
      </c>
      <c r="Q34" s="15" t="str"/>
      <c r="R34" s="15" t="str"/>
      <c r="S34" s="15" t="n">
        <v>3425</v>
      </c>
      <c r="T34" s="15" t="inlineStr">
        <is>
          <t>Frontend; Backend/API; Data/Database</t>
        </is>
      </c>
      <c r="U34" s="15" t="inlineStr">
        <is>
          <t>Technology; Education/Research</t>
        </is>
      </c>
      <c r="V34" s="15" t="inlineStr">
        <is>
          <t>C:\Workspace\java\scrape_indeed\soft_dav_part_1\1143.html#20944</t>
        </is>
      </c>
    </row>
    <row r="35">
      <c r="A35" s="2">
        <f>IF(COUNTIF('Sample 20'!$B$2:$B$21,B35)&gt;0,"是","")</f>
        <v/>
      </c>
      <c r="B35" s="2" t="inlineStr">
        <is>
          <t>20666</t>
        </is>
      </c>
      <c r="C35" s="15" t="inlineStr">
        <is>
          <t>Software Developer</t>
        </is>
      </c>
      <c r="D35" s="15">
        <f>IF(E35&gt;='Scoring Rules'!$B$3,"强",IF(E35&gt;='Scoring Rules'!$B$4,"中","弱"))</f>
        <v/>
      </c>
      <c r="E35" s="125">
        <f>MIN(100,H35+IF(I35&gt;=5,'Scoring Rules'!$B$16,IF(I35&gt;=3,'Scoring Rules'!$B$17,IF(I35&gt;=1,'Scoring Rules'!$B$18,'Scoring Rules'!$B$19)))+IF(L35="是",'Scoring Rules'!$B$22,0)+MIN(J35*'Scoring Rules'!$B$23,'Scoring Rules'!$B$24)+IF(M35="是",'Scoring Rules'!$B$25,0)+MIN((IF(K35="",0,LEN(K35)-LEN(SUBSTITUTE(K35,";",""))+1))*'Scoring Rules'!$B$26,'Scoring Rules'!$B$27)+IF(N35="是",'Scoring Rules'!$B$28,0)+IF(O35="是",'Scoring Rules'!$B$29,0)+IF(P35="是",'Scoring Rules'!$B$30,0)+IF(Q35="是",'Scoring Rules'!$B$31,0)+IF(R35="是",'Scoring Rules'!$B$32,0)+IF(S35&gt;=8000,'Scoring Rules'!$B$35,IF(S35&gt;=4000,'Scoring Rules'!$B$36,IF(S35&gt;=2000,'Scoring Rules'!$B$37,'Scoring Rules'!$B$38))))</f>
        <v/>
      </c>
      <c r="F35" s="15" t="inlineStr">
        <is>
          <t>Standard</t>
        </is>
      </c>
      <c r="G35" s="15" t="inlineStr">
        <is>
          <t>Master</t>
        </is>
      </c>
      <c r="H35" s="15" t="n">
        <v>16</v>
      </c>
      <c r="I35" s="15" t="n">
        <v>1</v>
      </c>
      <c r="J35" s="15" t="n">
        <v>11</v>
      </c>
      <c r="K35" s="15" t="str"/>
      <c r="L35" s="15" t="str"/>
      <c r="M35" s="15" t="str"/>
      <c r="N35" s="15" t="str"/>
      <c r="O35" s="15" t="str"/>
      <c r="P35" s="15" t="str"/>
      <c r="Q35" s="15" t="inlineStr">
        <is>
          <t>是</t>
        </is>
      </c>
      <c r="R35" s="15" t="str"/>
      <c r="S35" s="15" t="n">
        <v>1782</v>
      </c>
      <c r="T35" s="15" t="inlineStr">
        <is>
          <t>Frontend; Backend/API; Mobile; Data/Database</t>
        </is>
      </c>
      <c r="U35" s="15" t="inlineStr">
        <is>
          <t>Finance/Banking; Technology; Education/Research</t>
        </is>
      </c>
      <c r="V35" s="15" t="inlineStr">
        <is>
          <t>C:\Workspace\java\scrape_indeed\soft_dav_part_1\1144.html#20945</t>
        </is>
      </c>
    </row>
    <row r="36">
      <c r="A36" s="2">
        <f>IF(COUNTIF('Sample 20'!$B$2:$B$21,B36)&gt;0,"是","")</f>
        <v/>
      </c>
      <c r="B36" s="2" t="inlineStr">
        <is>
          <t>20667</t>
        </is>
      </c>
      <c r="C36" s="15" t="inlineStr">
        <is>
          <t>Software Developer</t>
        </is>
      </c>
      <c r="D36" s="15">
        <f>IF(E36&gt;='Scoring Rules'!$B$3,"强",IF(E36&gt;='Scoring Rules'!$B$4,"中","弱"))</f>
        <v/>
      </c>
      <c r="E36" s="125">
        <f>MIN(100,H36+IF(I36&gt;=5,'Scoring Rules'!$B$16,IF(I36&gt;=3,'Scoring Rules'!$B$17,IF(I36&gt;=1,'Scoring Rules'!$B$18,'Scoring Rules'!$B$19)))+IF(L36="是",'Scoring Rules'!$B$22,0)+MIN(J36*'Scoring Rules'!$B$23,'Scoring Rules'!$B$24)+IF(M36="是",'Scoring Rules'!$B$25,0)+MIN((IF(K36="",0,LEN(K36)-LEN(SUBSTITUTE(K36,";",""))+1))*'Scoring Rules'!$B$26,'Scoring Rules'!$B$27)+IF(N36="是",'Scoring Rules'!$B$28,0)+IF(O36="是",'Scoring Rules'!$B$29,0)+IF(P36="是",'Scoring Rules'!$B$30,0)+IF(Q36="是",'Scoring Rules'!$B$31,0)+IF(R36="是",'Scoring Rules'!$B$32,0)+IF(S36&gt;=8000,'Scoring Rules'!$B$35,IF(S36&gt;=4000,'Scoring Rules'!$B$36,IF(S36&gt;=2000,'Scoring Rules'!$B$37,'Scoring Rules'!$B$38))))</f>
        <v/>
      </c>
      <c r="F36" s="15" t="inlineStr">
        <is>
          <t>Standard</t>
        </is>
      </c>
      <c r="G36" s="15" t="inlineStr">
        <is>
          <t>Bachelor</t>
        </is>
      </c>
      <c r="H36" s="15" t="n">
        <v>12</v>
      </c>
      <c r="I36" s="15" t="n">
        <v>4</v>
      </c>
      <c r="J36" s="15" t="n">
        <v>17</v>
      </c>
      <c r="K36" s="15" t="str"/>
      <c r="L36" s="15" t="inlineStr">
        <is>
          <t>是</t>
        </is>
      </c>
      <c r="M36" s="15" t="str"/>
      <c r="N36" s="15" t="str"/>
      <c r="O36" s="15" t="inlineStr">
        <is>
          <t>是</t>
        </is>
      </c>
      <c r="P36" s="15" t="str"/>
      <c r="Q36" s="15" t="inlineStr">
        <is>
          <t>是</t>
        </is>
      </c>
      <c r="R36" s="15" t="inlineStr">
        <is>
          <t>是</t>
        </is>
      </c>
      <c r="S36" s="15" t="n">
        <v>3051</v>
      </c>
      <c r="T36" s="15" t="inlineStr">
        <is>
          <t>Frontend; Backend/API; Data/Database</t>
        </is>
      </c>
      <c r="U36" s="15" t="inlineStr">
        <is>
          <t>Technology; Telecom; Education/Research</t>
        </is>
      </c>
      <c r="V36" s="15" t="inlineStr">
        <is>
          <t>C:\Workspace\java\scrape_indeed\soft_dav_part_1\1145.html#20946</t>
        </is>
      </c>
    </row>
    <row r="37">
      <c r="A37" s="2">
        <f>IF(COUNTIF('Sample 20'!$B$2:$B$21,B37)&gt;0,"是","")</f>
        <v/>
      </c>
      <c r="B37" s="2" t="inlineStr">
        <is>
          <t>20669</t>
        </is>
      </c>
      <c r="C37" s="15" t="inlineStr">
        <is>
          <t>Software Developer</t>
        </is>
      </c>
      <c r="D37" s="15">
        <f>IF(E37&gt;='Scoring Rules'!$B$3,"强",IF(E37&gt;='Scoring Rules'!$B$4,"中","弱"))</f>
        <v/>
      </c>
      <c r="E37" s="125">
        <f>MIN(100,H37+IF(I37&gt;=5,'Scoring Rules'!$B$16,IF(I37&gt;=3,'Scoring Rules'!$B$17,IF(I37&gt;=1,'Scoring Rules'!$B$18,'Scoring Rules'!$B$19)))+IF(L37="是",'Scoring Rules'!$B$22,0)+MIN(J37*'Scoring Rules'!$B$23,'Scoring Rules'!$B$24)+IF(M37="是",'Scoring Rules'!$B$25,0)+MIN((IF(K37="",0,LEN(K37)-LEN(SUBSTITUTE(K37,";",""))+1))*'Scoring Rules'!$B$26,'Scoring Rules'!$B$27)+IF(N37="是",'Scoring Rules'!$B$28,0)+IF(O37="是",'Scoring Rules'!$B$29,0)+IF(P37="是",'Scoring Rules'!$B$30,0)+IF(Q37="是",'Scoring Rules'!$B$31,0)+IF(R37="是",'Scoring Rules'!$B$32,0)+IF(S37&gt;=8000,'Scoring Rules'!$B$35,IF(S37&gt;=4000,'Scoring Rules'!$B$36,IF(S37&gt;=2000,'Scoring Rules'!$B$37,'Scoring Rules'!$B$38))))</f>
        <v/>
      </c>
      <c r="F37" s="15" t="inlineStr">
        <is>
          <t>Standard</t>
        </is>
      </c>
      <c r="G37" s="15" t="inlineStr">
        <is>
          <t>Master</t>
        </is>
      </c>
      <c r="H37" s="15" t="n">
        <v>16</v>
      </c>
      <c r="I37" s="15" t="n">
        <v>5</v>
      </c>
      <c r="J37" s="15" t="n">
        <v>13</v>
      </c>
      <c r="K37" s="15" t="str"/>
      <c r="L37" s="15" t="inlineStr">
        <is>
          <t>是</t>
        </is>
      </c>
      <c r="M37" s="15" t="inlineStr">
        <is>
          <t>是</t>
        </is>
      </c>
      <c r="N37" s="15" t="str"/>
      <c r="O37" s="15" t="str"/>
      <c r="P37" s="15" t="str"/>
      <c r="Q37" s="15" t="str"/>
      <c r="R37" s="15" t="inlineStr">
        <is>
          <t>是</t>
        </is>
      </c>
      <c r="S37" s="15" t="n">
        <v>7438</v>
      </c>
      <c r="T37" s="15" t="inlineStr">
        <is>
          <t>Frontend; Backend/API; Data/Database; Testing/Automation</t>
        </is>
      </c>
      <c r="U37" s="15" t="inlineStr">
        <is>
          <t>Technology; Consulting; Education/Research</t>
        </is>
      </c>
      <c r="V37" s="15" t="inlineStr">
        <is>
          <t>C:\Workspace\java\scrape_indeed\soft_dav_part_1\1147.html#20948</t>
        </is>
      </c>
    </row>
    <row r="38">
      <c r="A38" s="2">
        <f>IF(COUNTIF('Sample 20'!$B$2:$B$21,B38)&gt;0,"是","")</f>
        <v/>
      </c>
      <c r="B38" s="2" t="inlineStr">
        <is>
          <t>20690</t>
        </is>
      </c>
      <c r="C38" s="15" t="inlineStr">
        <is>
          <t>Software Developer</t>
        </is>
      </c>
      <c r="D38" s="15">
        <f>IF(E38&gt;='Scoring Rules'!$B$3,"强",IF(E38&gt;='Scoring Rules'!$B$4,"中","弱"))</f>
        <v/>
      </c>
      <c r="E38" s="125">
        <f>MIN(100,H38+IF(I38&gt;=5,'Scoring Rules'!$B$16,IF(I38&gt;=3,'Scoring Rules'!$B$17,IF(I38&gt;=1,'Scoring Rules'!$B$18,'Scoring Rules'!$B$19)))+IF(L38="是",'Scoring Rules'!$B$22,0)+MIN(J38*'Scoring Rules'!$B$23,'Scoring Rules'!$B$24)+IF(M38="是",'Scoring Rules'!$B$25,0)+MIN((IF(K38="",0,LEN(K38)-LEN(SUBSTITUTE(K38,";",""))+1))*'Scoring Rules'!$B$26,'Scoring Rules'!$B$27)+IF(N38="是",'Scoring Rules'!$B$28,0)+IF(O38="是",'Scoring Rules'!$B$29,0)+IF(P38="是",'Scoring Rules'!$B$30,0)+IF(Q38="是",'Scoring Rules'!$B$31,0)+IF(R38="是",'Scoring Rules'!$B$32,0)+IF(S38&gt;=8000,'Scoring Rules'!$B$35,IF(S38&gt;=4000,'Scoring Rules'!$B$36,IF(S38&gt;=2000,'Scoring Rules'!$B$37,'Scoring Rules'!$B$38))))</f>
        <v/>
      </c>
      <c r="F38" s="15" t="inlineStr">
        <is>
          <t>Standard</t>
        </is>
      </c>
      <c r="G38" s="15" t="inlineStr">
        <is>
          <t>Bachelor</t>
        </is>
      </c>
      <c r="H38" s="15" t="n">
        <v>12</v>
      </c>
      <c r="I38" s="15" t="n">
        <v>1</v>
      </c>
      <c r="J38" s="15" t="n">
        <v>10</v>
      </c>
      <c r="K38" s="15" t="str"/>
      <c r="L38" s="15" t="inlineStr">
        <is>
          <t>是</t>
        </is>
      </c>
      <c r="M38" s="15" t="str"/>
      <c r="N38" s="15" t="str"/>
      <c r="O38" s="15" t="str"/>
      <c r="P38" s="15" t="str"/>
      <c r="Q38" s="15" t="str"/>
      <c r="R38" s="15" t="inlineStr">
        <is>
          <t>是</t>
        </is>
      </c>
      <c r="S38" s="15" t="n">
        <v>4512</v>
      </c>
      <c r="T38" s="15" t="inlineStr">
        <is>
          <t>Frontend; Backend/API; Data/Database; Embedded/Systems; Testing/Automation</t>
        </is>
      </c>
      <c r="U38" s="15" t="inlineStr">
        <is>
          <t>Technology; Education/Research</t>
        </is>
      </c>
      <c r="V38" s="15" t="inlineStr">
        <is>
          <t>C:\Workspace\java\scrape_indeed\soft_dav_part_1\1168.html#20971</t>
        </is>
      </c>
    </row>
    <row r="39">
      <c r="A39" s="2">
        <f>IF(COUNTIF('Sample 20'!$B$2:$B$21,B39)&gt;0,"是","")</f>
        <v/>
      </c>
      <c r="B39" s="2" t="inlineStr">
        <is>
          <t>20734</t>
        </is>
      </c>
      <c r="C39" s="15" t="inlineStr">
        <is>
          <t>Software Developer</t>
        </is>
      </c>
      <c r="D39" s="15">
        <f>IF(E39&gt;='Scoring Rules'!$B$3,"强",IF(E39&gt;='Scoring Rules'!$B$4,"中","弱"))</f>
        <v/>
      </c>
      <c r="E39" s="125">
        <f>MIN(100,H39+IF(I39&gt;=5,'Scoring Rules'!$B$16,IF(I39&gt;=3,'Scoring Rules'!$B$17,IF(I39&gt;=1,'Scoring Rules'!$B$18,'Scoring Rules'!$B$19)))+IF(L39="是",'Scoring Rules'!$B$22,0)+MIN(J39*'Scoring Rules'!$B$23,'Scoring Rules'!$B$24)+IF(M39="是",'Scoring Rules'!$B$25,0)+MIN((IF(K39="",0,LEN(K39)-LEN(SUBSTITUTE(K39,";",""))+1))*'Scoring Rules'!$B$26,'Scoring Rules'!$B$27)+IF(N39="是",'Scoring Rules'!$B$28,0)+IF(O39="是",'Scoring Rules'!$B$29,0)+IF(P39="是",'Scoring Rules'!$B$30,0)+IF(Q39="是",'Scoring Rules'!$B$31,0)+IF(R39="是",'Scoring Rules'!$B$32,0)+IF(S39&gt;=8000,'Scoring Rules'!$B$35,IF(S39&gt;=4000,'Scoring Rules'!$B$36,IF(S39&gt;=2000,'Scoring Rules'!$B$37,'Scoring Rules'!$B$38))))</f>
        <v/>
      </c>
      <c r="F39" s="15" t="inlineStr">
        <is>
          <t>Standard</t>
        </is>
      </c>
      <c r="G39" s="15" t="inlineStr">
        <is>
          <t>Unspecified</t>
        </is>
      </c>
      <c r="H39" s="15" t="n">
        <v>2</v>
      </c>
      <c r="I39" s="15" t="n">
        <v>2</v>
      </c>
      <c r="J39" s="15" t="n">
        <v>9</v>
      </c>
      <c r="K39" s="15" t="str"/>
      <c r="L39" s="15" t="inlineStr">
        <is>
          <t>是</t>
        </is>
      </c>
      <c r="M39" s="15" t="str"/>
      <c r="N39" s="15" t="inlineStr">
        <is>
          <t>是</t>
        </is>
      </c>
      <c r="O39" s="15" t="str"/>
      <c r="P39" s="15" t="inlineStr">
        <is>
          <t>是</t>
        </is>
      </c>
      <c r="Q39" s="15" t="str"/>
      <c r="R39" s="15" t="inlineStr">
        <is>
          <t>是</t>
        </is>
      </c>
      <c r="S39" s="15" t="n">
        <v>1571</v>
      </c>
      <c r="T39" s="15" t="inlineStr">
        <is>
          <t>Frontend; Backend/API</t>
        </is>
      </c>
      <c r="U39" s="15" t="inlineStr">
        <is>
          <t>Technology; Education/Research</t>
        </is>
      </c>
      <c r="V39" s="15" t="inlineStr">
        <is>
          <t>C:\Workspace\java\scrape_indeed\soft_dav_part_1\121.html#21018</t>
        </is>
      </c>
    </row>
    <row r="40">
      <c r="A40" s="2">
        <f>IF(COUNTIF('Sample 20'!$B$2:$B$21,B40)&gt;0,"是","")</f>
        <v/>
      </c>
      <c r="B40" s="2" t="inlineStr">
        <is>
          <t>20741</t>
        </is>
      </c>
      <c r="C40" s="15" t="inlineStr">
        <is>
          <t>Software Developer</t>
        </is>
      </c>
      <c r="D40" s="15">
        <f>IF(E40&gt;='Scoring Rules'!$B$3,"强",IF(E40&gt;='Scoring Rules'!$B$4,"中","弱"))</f>
        <v/>
      </c>
      <c r="E40" s="125">
        <f>MIN(100,H40+IF(I40&gt;=5,'Scoring Rules'!$B$16,IF(I40&gt;=3,'Scoring Rules'!$B$17,IF(I40&gt;=1,'Scoring Rules'!$B$18,'Scoring Rules'!$B$19)))+IF(L40="是",'Scoring Rules'!$B$22,0)+MIN(J40*'Scoring Rules'!$B$23,'Scoring Rules'!$B$24)+IF(M40="是",'Scoring Rules'!$B$25,0)+MIN((IF(K40="",0,LEN(K40)-LEN(SUBSTITUTE(K40,";",""))+1))*'Scoring Rules'!$B$26,'Scoring Rules'!$B$27)+IF(N40="是",'Scoring Rules'!$B$28,0)+IF(O40="是",'Scoring Rules'!$B$29,0)+IF(P40="是",'Scoring Rules'!$B$30,0)+IF(Q40="是",'Scoring Rules'!$B$31,0)+IF(R40="是",'Scoring Rules'!$B$32,0)+IF(S40&gt;=8000,'Scoring Rules'!$B$35,IF(S40&gt;=4000,'Scoring Rules'!$B$36,IF(S40&gt;=2000,'Scoring Rules'!$B$37,'Scoring Rules'!$B$38))))</f>
        <v/>
      </c>
      <c r="F40" s="15" t="inlineStr">
        <is>
          <t>Standard</t>
        </is>
      </c>
      <c r="G40" s="15" t="inlineStr">
        <is>
          <t>Unspecified</t>
        </is>
      </c>
      <c r="H40" s="15" t="n">
        <v>2</v>
      </c>
      <c r="I40" s="15" t="n">
        <v>8</v>
      </c>
      <c r="J40" s="15" t="n">
        <v>25</v>
      </c>
      <c r="K40" s="15" t="str"/>
      <c r="L40" s="15" t="inlineStr">
        <is>
          <t>是</t>
        </is>
      </c>
      <c r="M40" s="15" t="str"/>
      <c r="N40" s="15" t="str"/>
      <c r="O40" s="15" t="str"/>
      <c r="P40" s="15" t="str"/>
      <c r="Q40" s="15" t="inlineStr">
        <is>
          <t>是</t>
        </is>
      </c>
      <c r="R40" s="15" t="inlineStr">
        <is>
          <t>是</t>
        </is>
      </c>
      <c r="S40" s="15" t="n">
        <v>17516</v>
      </c>
      <c r="T40" s="15" t="inlineStr">
        <is>
          <t>Frontend; Backend/API; Data/Database; Cloud/DevOps; Testing/Automation</t>
        </is>
      </c>
      <c r="U40" s="15" t="inlineStr">
        <is>
          <t>Finance/Banking; Technology; Consulting; Education/Research; Retail/E-commerce</t>
        </is>
      </c>
      <c r="V40" s="15" t="inlineStr">
        <is>
          <t>C:\Workspace\java\scrape_indeed\soft_dav_part_1\1216.html#21025</t>
        </is>
      </c>
    </row>
    <row r="41">
      <c r="A41" s="2">
        <f>IF(COUNTIF('Sample 20'!$B$2:$B$21,B41)&gt;0,"是","")</f>
        <v/>
      </c>
      <c r="B41" s="2" t="inlineStr">
        <is>
          <t>20743</t>
        </is>
      </c>
      <c r="C41" s="15" t="inlineStr">
        <is>
          <t>Software Developer</t>
        </is>
      </c>
      <c r="D41" s="15">
        <f>IF(E41&gt;='Scoring Rules'!$B$3,"强",IF(E41&gt;='Scoring Rules'!$B$4,"中","弱"))</f>
        <v/>
      </c>
      <c r="E41" s="125">
        <f>MIN(100,H41+IF(I41&gt;=5,'Scoring Rules'!$B$16,IF(I41&gt;=3,'Scoring Rules'!$B$17,IF(I41&gt;=1,'Scoring Rules'!$B$18,'Scoring Rules'!$B$19)))+IF(L41="是",'Scoring Rules'!$B$22,0)+MIN(J41*'Scoring Rules'!$B$23,'Scoring Rules'!$B$24)+IF(M41="是",'Scoring Rules'!$B$25,0)+MIN((IF(K41="",0,LEN(K41)-LEN(SUBSTITUTE(K41,";",""))+1))*'Scoring Rules'!$B$26,'Scoring Rules'!$B$27)+IF(N41="是",'Scoring Rules'!$B$28,0)+IF(O41="是",'Scoring Rules'!$B$29,0)+IF(P41="是",'Scoring Rules'!$B$30,0)+IF(Q41="是",'Scoring Rules'!$B$31,0)+IF(R41="是",'Scoring Rules'!$B$32,0)+IF(S41&gt;=8000,'Scoring Rules'!$B$35,IF(S41&gt;=4000,'Scoring Rules'!$B$36,IF(S41&gt;=2000,'Scoring Rules'!$B$37,'Scoring Rules'!$B$38))))</f>
        <v/>
      </c>
      <c r="F41" s="15" t="inlineStr">
        <is>
          <t>Standard</t>
        </is>
      </c>
      <c r="G41" s="15" t="inlineStr">
        <is>
          <t>Bachelor</t>
        </is>
      </c>
      <c r="H41" s="15" t="n">
        <v>12</v>
      </c>
      <c r="I41" s="15" t="n">
        <v>2</v>
      </c>
      <c r="J41" s="15" t="n">
        <v>3</v>
      </c>
      <c r="K41" s="15" t="str"/>
      <c r="L41" s="15" t="inlineStr">
        <is>
          <t>是</t>
        </is>
      </c>
      <c r="M41" s="15" t="str"/>
      <c r="N41" s="15" t="str"/>
      <c r="O41" s="15" t="str"/>
      <c r="P41" s="15" t="str"/>
      <c r="Q41" s="15" t="str"/>
      <c r="R41" s="15" t="str"/>
      <c r="S41" s="15" t="n">
        <v>1352</v>
      </c>
      <c r="T41" s="15" t="inlineStr">
        <is>
          <t>Backend/API; Mobile; Data/Database</t>
        </is>
      </c>
      <c r="U41" s="15" t="inlineStr">
        <is>
          <t>Technology; Education/Research</t>
        </is>
      </c>
      <c r="V41" s="15" t="inlineStr">
        <is>
          <t>C:\Workspace\java\scrape_indeed\soft_dav_part_1\1218.html#21027</t>
        </is>
      </c>
    </row>
    <row r="42">
      <c r="A42" s="2">
        <f>IF(COUNTIF('Sample 20'!$B$2:$B$21,B42)&gt;0,"是","")</f>
        <v/>
      </c>
      <c r="B42" s="2" t="inlineStr">
        <is>
          <t>20767</t>
        </is>
      </c>
      <c r="C42" s="15" t="inlineStr">
        <is>
          <t>Software Developer</t>
        </is>
      </c>
      <c r="D42" s="15">
        <f>IF(E42&gt;='Scoring Rules'!$B$3,"强",IF(E42&gt;='Scoring Rules'!$B$4,"中","弱"))</f>
        <v/>
      </c>
      <c r="E42" s="125">
        <f>MIN(100,H42+IF(I42&gt;=5,'Scoring Rules'!$B$16,IF(I42&gt;=3,'Scoring Rules'!$B$17,IF(I42&gt;=1,'Scoring Rules'!$B$18,'Scoring Rules'!$B$19)))+IF(L42="是",'Scoring Rules'!$B$22,0)+MIN(J42*'Scoring Rules'!$B$23,'Scoring Rules'!$B$24)+IF(M42="是",'Scoring Rules'!$B$25,0)+MIN((IF(K42="",0,LEN(K42)-LEN(SUBSTITUTE(K42,";",""))+1))*'Scoring Rules'!$B$26,'Scoring Rules'!$B$27)+IF(N42="是",'Scoring Rules'!$B$28,0)+IF(O42="是",'Scoring Rules'!$B$29,0)+IF(P42="是",'Scoring Rules'!$B$30,0)+IF(Q42="是",'Scoring Rules'!$B$31,0)+IF(R42="是",'Scoring Rules'!$B$32,0)+IF(S42&gt;=8000,'Scoring Rules'!$B$35,IF(S42&gt;=4000,'Scoring Rules'!$B$36,IF(S42&gt;=2000,'Scoring Rules'!$B$37,'Scoring Rules'!$B$38))))</f>
        <v/>
      </c>
      <c r="F42" s="15" t="inlineStr">
        <is>
          <t>Standard</t>
        </is>
      </c>
      <c r="G42" s="15" t="inlineStr">
        <is>
          <t>Bachelor</t>
        </is>
      </c>
      <c r="H42" s="15" t="n">
        <v>12</v>
      </c>
      <c r="I42" s="15" t="n">
        <v>3</v>
      </c>
      <c r="J42" s="15" t="n">
        <v>15</v>
      </c>
      <c r="K42" s="15" t="str"/>
      <c r="L42" s="15" t="inlineStr">
        <is>
          <t>是</t>
        </is>
      </c>
      <c r="M42" s="15" t="str"/>
      <c r="N42" s="15" t="str"/>
      <c r="O42" s="15" t="str"/>
      <c r="P42" s="15" t="inlineStr">
        <is>
          <t>是</t>
        </is>
      </c>
      <c r="Q42" s="15" t="inlineStr">
        <is>
          <t>是</t>
        </is>
      </c>
      <c r="R42" s="15" t="inlineStr">
        <is>
          <t>是</t>
        </is>
      </c>
      <c r="S42" s="15" t="n">
        <v>3223</v>
      </c>
      <c r="T42" s="15" t="inlineStr">
        <is>
          <t>Frontend; Backend/API; Data/Database; Cloud/DevOps</t>
        </is>
      </c>
      <c r="U42" s="15" t="inlineStr">
        <is>
          <t>Healthcare; Technology; Education/Research</t>
        </is>
      </c>
      <c r="V42" s="15" t="inlineStr">
        <is>
          <t>C:\Workspace\java\scrape_indeed\soft_dav_part_1\124.html#21051</t>
        </is>
      </c>
    </row>
    <row r="43">
      <c r="A43" s="2">
        <f>IF(COUNTIF('Sample 20'!$B$2:$B$21,B43)&gt;0,"是","")</f>
        <v/>
      </c>
      <c r="B43" s="2" t="inlineStr">
        <is>
          <t>20773</t>
        </is>
      </c>
      <c r="C43" s="15" t="inlineStr">
        <is>
          <t>Software Developer</t>
        </is>
      </c>
      <c r="D43" s="15">
        <f>IF(E43&gt;='Scoring Rules'!$B$3,"强",IF(E43&gt;='Scoring Rules'!$B$4,"中","弱"))</f>
        <v/>
      </c>
      <c r="E43" s="125">
        <f>MIN(100,H43+IF(I43&gt;=5,'Scoring Rules'!$B$16,IF(I43&gt;=3,'Scoring Rules'!$B$17,IF(I43&gt;=1,'Scoring Rules'!$B$18,'Scoring Rules'!$B$19)))+IF(L43="是",'Scoring Rules'!$B$22,0)+MIN(J43*'Scoring Rules'!$B$23,'Scoring Rules'!$B$24)+IF(M43="是",'Scoring Rules'!$B$25,0)+MIN((IF(K43="",0,LEN(K43)-LEN(SUBSTITUTE(K43,";",""))+1))*'Scoring Rules'!$B$26,'Scoring Rules'!$B$27)+IF(N43="是",'Scoring Rules'!$B$28,0)+IF(O43="是",'Scoring Rules'!$B$29,0)+IF(P43="是",'Scoring Rules'!$B$30,0)+IF(Q43="是",'Scoring Rules'!$B$31,0)+IF(R43="是",'Scoring Rules'!$B$32,0)+IF(S43&gt;=8000,'Scoring Rules'!$B$35,IF(S43&gt;=4000,'Scoring Rules'!$B$36,IF(S43&gt;=2000,'Scoring Rules'!$B$37,'Scoring Rules'!$B$38))))</f>
        <v/>
      </c>
      <c r="F43" s="15" t="inlineStr">
        <is>
          <t>Standard</t>
        </is>
      </c>
      <c r="G43" s="15" t="inlineStr">
        <is>
          <t>Bachelor</t>
        </is>
      </c>
      <c r="H43" s="15" t="n">
        <v>12</v>
      </c>
      <c r="I43" s="15" t="n">
        <v>4</v>
      </c>
      <c r="J43" s="15" t="n">
        <v>11</v>
      </c>
      <c r="K43" s="15" t="inlineStr">
        <is>
          <t>Scrum</t>
        </is>
      </c>
      <c r="L43" s="15" t="inlineStr">
        <is>
          <t>是</t>
        </is>
      </c>
      <c r="M43" s="15" t="inlineStr">
        <is>
          <t>是</t>
        </is>
      </c>
      <c r="N43" s="15" t="str"/>
      <c r="O43" s="15" t="str"/>
      <c r="P43" s="15" t="inlineStr">
        <is>
          <t>是</t>
        </is>
      </c>
      <c r="Q43" s="15" t="str"/>
      <c r="R43" s="15" t="str"/>
      <c r="S43" s="15" t="n">
        <v>2314</v>
      </c>
      <c r="T43" s="15" t="inlineStr">
        <is>
          <t>Frontend; Backend/API</t>
        </is>
      </c>
      <c r="U43" s="15" t="inlineStr">
        <is>
          <t>Finance/Banking; Technology; Education/Research</t>
        </is>
      </c>
      <c r="V43" s="15" t="inlineStr">
        <is>
          <t>C:\Workspace\java\scrape_indeed\soft_dav_part_1\1245.html#21057</t>
        </is>
      </c>
    </row>
    <row r="44">
      <c r="A44" s="2">
        <f>IF(COUNTIF('Sample 20'!$B$2:$B$21,B44)&gt;0,"是","")</f>
        <v/>
      </c>
      <c r="B44" s="2" t="inlineStr">
        <is>
          <t>20793</t>
        </is>
      </c>
      <c r="C44" s="15" t="inlineStr">
        <is>
          <t>Software Developer</t>
        </is>
      </c>
      <c r="D44" s="15">
        <f>IF(E44&gt;='Scoring Rules'!$B$3,"强",IF(E44&gt;='Scoring Rules'!$B$4,"中","弱"))</f>
        <v/>
      </c>
      <c r="E44" s="125">
        <f>MIN(100,H44+IF(I44&gt;=5,'Scoring Rules'!$B$16,IF(I44&gt;=3,'Scoring Rules'!$B$17,IF(I44&gt;=1,'Scoring Rules'!$B$18,'Scoring Rules'!$B$19)))+IF(L44="是",'Scoring Rules'!$B$22,0)+MIN(J44*'Scoring Rules'!$B$23,'Scoring Rules'!$B$24)+IF(M44="是",'Scoring Rules'!$B$25,0)+MIN((IF(K44="",0,LEN(K44)-LEN(SUBSTITUTE(K44,";",""))+1))*'Scoring Rules'!$B$26,'Scoring Rules'!$B$27)+IF(N44="是",'Scoring Rules'!$B$28,0)+IF(O44="是",'Scoring Rules'!$B$29,0)+IF(P44="是",'Scoring Rules'!$B$30,0)+IF(Q44="是",'Scoring Rules'!$B$31,0)+IF(R44="是",'Scoring Rules'!$B$32,0)+IF(S44&gt;=8000,'Scoring Rules'!$B$35,IF(S44&gt;=4000,'Scoring Rules'!$B$36,IF(S44&gt;=2000,'Scoring Rules'!$B$37,'Scoring Rules'!$B$38))))</f>
        <v/>
      </c>
      <c r="F44" s="15" t="inlineStr">
        <is>
          <t>Standard</t>
        </is>
      </c>
      <c r="G44" s="15" t="inlineStr">
        <is>
          <t>Unspecified</t>
        </is>
      </c>
      <c r="H44" s="15" t="n">
        <v>2</v>
      </c>
      <c r="I44" s="15" t="n">
        <v>5</v>
      </c>
      <c r="J44" s="15" t="n">
        <v>11</v>
      </c>
      <c r="K44" s="15" t="str"/>
      <c r="L44" s="15" t="inlineStr">
        <is>
          <t>是</t>
        </is>
      </c>
      <c r="M44" s="15" t="inlineStr">
        <is>
          <t>是</t>
        </is>
      </c>
      <c r="N44" s="15" t="str"/>
      <c r="O44" s="15" t="str"/>
      <c r="P44" s="15" t="str"/>
      <c r="Q44" s="15" t="inlineStr">
        <is>
          <t>是</t>
        </is>
      </c>
      <c r="R44" s="15" t="inlineStr">
        <is>
          <t>是</t>
        </is>
      </c>
      <c r="S44" s="15" t="n">
        <v>6739</v>
      </c>
      <c r="T44" s="15" t="inlineStr">
        <is>
          <t>Frontend; Mobile; Data/Database</t>
        </is>
      </c>
      <c r="U44" s="15" t="inlineStr">
        <is>
          <t>Government/Defense; Technology; Education/Research; Manufacturing/Automotive</t>
        </is>
      </c>
      <c r="V44" s="15" t="inlineStr">
        <is>
          <t>C:\Workspace\java\scrape_indeed\soft_dav_part_1\1263.html#21077</t>
        </is>
      </c>
    </row>
    <row r="45">
      <c r="A45" s="2">
        <f>IF(COUNTIF('Sample 20'!$B$2:$B$21,B45)&gt;0,"是","")</f>
        <v/>
      </c>
      <c r="B45" s="2" t="inlineStr">
        <is>
          <t>20796</t>
        </is>
      </c>
      <c r="C45" s="15" t="inlineStr">
        <is>
          <t>Software Developer</t>
        </is>
      </c>
      <c r="D45" s="15">
        <f>IF(E45&gt;='Scoring Rules'!$B$3,"强",IF(E45&gt;='Scoring Rules'!$B$4,"中","弱"))</f>
        <v/>
      </c>
      <c r="E45" s="125">
        <f>MIN(100,H45+IF(I45&gt;=5,'Scoring Rules'!$B$16,IF(I45&gt;=3,'Scoring Rules'!$B$17,IF(I45&gt;=1,'Scoring Rules'!$B$18,'Scoring Rules'!$B$19)))+IF(L45="是",'Scoring Rules'!$B$22,0)+MIN(J45*'Scoring Rules'!$B$23,'Scoring Rules'!$B$24)+IF(M45="是",'Scoring Rules'!$B$25,0)+MIN((IF(K45="",0,LEN(K45)-LEN(SUBSTITUTE(K45,";",""))+1))*'Scoring Rules'!$B$26,'Scoring Rules'!$B$27)+IF(N45="是",'Scoring Rules'!$B$28,0)+IF(O45="是",'Scoring Rules'!$B$29,0)+IF(P45="是",'Scoring Rules'!$B$30,0)+IF(Q45="是",'Scoring Rules'!$B$31,0)+IF(R45="是",'Scoring Rules'!$B$32,0)+IF(S45&gt;=8000,'Scoring Rules'!$B$35,IF(S45&gt;=4000,'Scoring Rules'!$B$36,IF(S45&gt;=2000,'Scoring Rules'!$B$37,'Scoring Rules'!$B$38))))</f>
        <v/>
      </c>
      <c r="F45" s="15" t="inlineStr">
        <is>
          <t>Standard</t>
        </is>
      </c>
      <c r="G45" s="15" t="inlineStr">
        <is>
          <t>Master</t>
        </is>
      </c>
      <c r="H45" s="15" t="n">
        <v>16</v>
      </c>
      <c r="I45" s="15" t="n">
        <v>4</v>
      </c>
      <c r="J45" s="15" t="n">
        <v>20</v>
      </c>
      <c r="K45" s="15" t="str"/>
      <c r="L45" s="15" t="inlineStr">
        <is>
          <t>是</t>
        </is>
      </c>
      <c r="M45" s="15" t="str"/>
      <c r="N45" s="15" t="str"/>
      <c r="O45" s="15" t="str"/>
      <c r="P45" s="15" t="inlineStr">
        <is>
          <t>是</t>
        </is>
      </c>
      <c r="Q45" s="15" t="inlineStr">
        <is>
          <t>是</t>
        </is>
      </c>
      <c r="R45" s="15" t="inlineStr">
        <is>
          <t>是</t>
        </is>
      </c>
      <c r="S45" s="15" t="n">
        <v>3247</v>
      </c>
      <c r="T45" s="15" t="inlineStr">
        <is>
          <t>Frontend; Backend/API; Mobile; Data/Database; Cloud/DevOps</t>
        </is>
      </c>
      <c r="U45" s="15" t="inlineStr">
        <is>
          <t>Technology; Education/Research</t>
        </is>
      </c>
      <c r="V45" s="15" t="inlineStr">
        <is>
          <t>C:\Workspace\java\scrape_indeed\soft_dav_part_1\1266.html#21080</t>
        </is>
      </c>
    </row>
    <row r="46">
      <c r="A46" s="2">
        <f>IF(COUNTIF('Sample 20'!$B$2:$B$21,B46)&gt;0,"是","")</f>
        <v/>
      </c>
      <c r="B46" s="2" t="inlineStr">
        <is>
          <t>20799</t>
        </is>
      </c>
      <c r="C46" s="15" t="inlineStr">
        <is>
          <t>Software Developer</t>
        </is>
      </c>
      <c r="D46" s="15">
        <f>IF(E46&gt;='Scoring Rules'!$B$3,"强",IF(E46&gt;='Scoring Rules'!$B$4,"中","弱"))</f>
        <v/>
      </c>
      <c r="E46" s="125">
        <f>MIN(100,H46+IF(I46&gt;=5,'Scoring Rules'!$B$16,IF(I46&gt;=3,'Scoring Rules'!$B$17,IF(I46&gt;=1,'Scoring Rules'!$B$18,'Scoring Rules'!$B$19)))+IF(L46="是",'Scoring Rules'!$B$22,0)+MIN(J46*'Scoring Rules'!$B$23,'Scoring Rules'!$B$24)+IF(M46="是",'Scoring Rules'!$B$25,0)+MIN((IF(K46="",0,LEN(K46)-LEN(SUBSTITUTE(K46,";",""))+1))*'Scoring Rules'!$B$26,'Scoring Rules'!$B$27)+IF(N46="是",'Scoring Rules'!$B$28,0)+IF(O46="是",'Scoring Rules'!$B$29,0)+IF(P46="是",'Scoring Rules'!$B$30,0)+IF(Q46="是",'Scoring Rules'!$B$31,0)+IF(R46="是",'Scoring Rules'!$B$32,0)+IF(S46&gt;=8000,'Scoring Rules'!$B$35,IF(S46&gt;=4000,'Scoring Rules'!$B$36,IF(S46&gt;=2000,'Scoring Rules'!$B$37,'Scoring Rules'!$B$38))))</f>
        <v/>
      </c>
      <c r="F46" s="15" t="inlineStr">
        <is>
          <t>Standard</t>
        </is>
      </c>
      <c r="G46" s="15" t="inlineStr">
        <is>
          <t>Master</t>
        </is>
      </c>
      <c r="H46" s="15" t="n">
        <v>16</v>
      </c>
      <c r="I46" s="15" t="n">
        <v>6</v>
      </c>
      <c r="J46" s="15" t="n">
        <v>21</v>
      </c>
      <c r="K46" s="15" t="str"/>
      <c r="L46" s="15" t="inlineStr">
        <is>
          <t>是</t>
        </is>
      </c>
      <c r="M46" s="15" t="str"/>
      <c r="N46" s="15" t="str"/>
      <c r="O46" s="15" t="str"/>
      <c r="P46" s="15" t="inlineStr">
        <is>
          <t>是</t>
        </is>
      </c>
      <c r="Q46" s="15" t="inlineStr">
        <is>
          <t>是</t>
        </is>
      </c>
      <c r="R46" s="15" t="inlineStr">
        <is>
          <t>是</t>
        </is>
      </c>
      <c r="S46" s="15" t="n">
        <v>4149</v>
      </c>
      <c r="T46" s="15" t="inlineStr">
        <is>
          <t>Frontend; Backend/API; Mobile; Data/Database; Cloud/DevOps; Embedded/Systems; Testing/Automation</t>
        </is>
      </c>
      <c r="U46" s="15" t="inlineStr">
        <is>
          <t>Technology; Education/Research</t>
        </is>
      </c>
      <c r="V46" s="15" t="inlineStr">
        <is>
          <t>C:\Workspace\java\scrape_indeed\soft_dav_part_1\1269.html#21083</t>
        </is>
      </c>
    </row>
    <row r="47">
      <c r="A47" s="2">
        <f>IF(COUNTIF('Sample 20'!$B$2:$B$21,B47)&gt;0,"是","")</f>
        <v/>
      </c>
      <c r="B47" s="2" t="inlineStr">
        <is>
          <t>20822</t>
        </is>
      </c>
      <c r="C47" s="15" t="inlineStr">
        <is>
          <t>Software Developer</t>
        </is>
      </c>
      <c r="D47" s="15">
        <f>IF(E47&gt;='Scoring Rules'!$B$3,"强",IF(E47&gt;='Scoring Rules'!$B$4,"中","弱"))</f>
        <v/>
      </c>
      <c r="E47" s="125">
        <f>MIN(100,H47+IF(I47&gt;=5,'Scoring Rules'!$B$16,IF(I47&gt;=3,'Scoring Rules'!$B$17,IF(I47&gt;=1,'Scoring Rules'!$B$18,'Scoring Rules'!$B$19)))+IF(L47="是",'Scoring Rules'!$B$22,0)+MIN(J47*'Scoring Rules'!$B$23,'Scoring Rules'!$B$24)+IF(M47="是",'Scoring Rules'!$B$25,0)+MIN((IF(K47="",0,LEN(K47)-LEN(SUBSTITUTE(K47,";",""))+1))*'Scoring Rules'!$B$26,'Scoring Rules'!$B$27)+IF(N47="是",'Scoring Rules'!$B$28,0)+IF(O47="是",'Scoring Rules'!$B$29,0)+IF(P47="是",'Scoring Rules'!$B$30,0)+IF(Q47="是",'Scoring Rules'!$B$31,0)+IF(R47="是",'Scoring Rules'!$B$32,0)+IF(S47&gt;=8000,'Scoring Rules'!$B$35,IF(S47&gt;=4000,'Scoring Rules'!$B$36,IF(S47&gt;=2000,'Scoring Rules'!$B$37,'Scoring Rules'!$B$38))))</f>
        <v/>
      </c>
      <c r="F47" s="15" t="inlineStr">
        <is>
          <t>Standard</t>
        </is>
      </c>
      <c r="G47" s="15" t="inlineStr">
        <is>
          <t>Unspecified</t>
        </is>
      </c>
      <c r="H47" s="15" t="n">
        <v>2</v>
      </c>
      <c r="I47" s="15" t="n">
        <v>3</v>
      </c>
      <c r="J47" s="15" t="n">
        <v>7</v>
      </c>
      <c r="K47" s="15" t="str"/>
      <c r="L47" s="15" t="inlineStr">
        <is>
          <t>是</t>
        </is>
      </c>
      <c r="M47" s="15" t="str"/>
      <c r="N47" s="15" t="str"/>
      <c r="O47" s="15" t="str"/>
      <c r="P47" s="15" t="str"/>
      <c r="Q47" s="15" t="inlineStr">
        <is>
          <t>是</t>
        </is>
      </c>
      <c r="R47" s="15" t="inlineStr">
        <is>
          <t>是</t>
        </is>
      </c>
      <c r="S47" s="15" t="n">
        <v>1740</v>
      </c>
      <c r="T47" s="15" t="inlineStr">
        <is>
          <t>Backend/API; Data/Database; Embedded/Systems</t>
        </is>
      </c>
      <c r="U47" s="15" t="inlineStr">
        <is>
          <t>Finance/Banking; Technology; Education/Research</t>
        </is>
      </c>
      <c r="V47" s="15" t="inlineStr">
        <is>
          <t>C:\Workspace\java\scrape_indeed\soft_dav_part_1\129.html#21106</t>
        </is>
      </c>
    </row>
    <row r="48">
      <c r="A48" s="2">
        <f>IF(COUNTIF('Sample 20'!$B$2:$B$21,B48)&gt;0,"是","")</f>
        <v/>
      </c>
      <c r="B48" s="2" t="inlineStr">
        <is>
          <t>20823</t>
        </is>
      </c>
      <c r="C48" s="15" t="inlineStr">
        <is>
          <t>Software Developer</t>
        </is>
      </c>
      <c r="D48" s="15">
        <f>IF(E48&gt;='Scoring Rules'!$B$3,"强",IF(E48&gt;='Scoring Rules'!$B$4,"中","弱"))</f>
        <v/>
      </c>
      <c r="E48" s="125">
        <f>MIN(100,H48+IF(I48&gt;=5,'Scoring Rules'!$B$16,IF(I48&gt;=3,'Scoring Rules'!$B$17,IF(I48&gt;=1,'Scoring Rules'!$B$18,'Scoring Rules'!$B$19)))+IF(L48="是",'Scoring Rules'!$B$22,0)+MIN(J48*'Scoring Rules'!$B$23,'Scoring Rules'!$B$24)+IF(M48="是",'Scoring Rules'!$B$25,0)+MIN((IF(K48="",0,LEN(K48)-LEN(SUBSTITUTE(K48,";",""))+1))*'Scoring Rules'!$B$26,'Scoring Rules'!$B$27)+IF(N48="是",'Scoring Rules'!$B$28,0)+IF(O48="是",'Scoring Rules'!$B$29,0)+IF(P48="是",'Scoring Rules'!$B$30,0)+IF(Q48="是",'Scoring Rules'!$B$31,0)+IF(R48="是",'Scoring Rules'!$B$32,0)+IF(S48&gt;=8000,'Scoring Rules'!$B$35,IF(S48&gt;=4000,'Scoring Rules'!$B$36,IF(S48&gt;=2000,'Scoring Rules'!$B$37,'Scoring Rules'!$B$38))))</f>
        <v/>
      </c>
      <c r="F48" s="15" t="inlineStr">
        <is>
          <t>Standard</t>
        </is>
      </c>
      <c r="G48" s="15" t="inlineStr">
        <is>
          <t>Unspecified</t>
        </is>
      </c>
      <c r="H48" s="15" t="n">
        <v>2</v>
      </c>
      <c r="I48" s="15" t="n">
        <v>3</v>
      </c>
      <c r="J48" s="15" t="n">
        <v>15</v>
      </c>
      <c r="K48" s="15" t="str"/>
      <c r="L48" s="15" t="inlineStr">
        <is>
          <t>是</t>
        </is>
      </c>
      <c r="M48" s="15" t="str"/>
      <c r="N48" s="15" t="str"/>
      <c r="O48" s="15" t="inlineStr">
        <is>
          <t>是</t>
        </is>
      </c>
      <c r="P48" s="15" t="str"/>
      <c r="Q48" s="15" t="inlineStr">
        <is>
          <t>是</t>
        </is>
      </c>
      <c r="R48" s="15" t="inlineStr">
        <is>
          <t>是</t>
        </is>
      </c>
      <c r="S48" s="15" t="n">
        <v>11432</v>
      </c>
      <c r="T48" s="15" t="inlineStr">
        <is>
          <t>Frontend; Backend/API; Mobile; Data/Database; Embedded/Systems; Testing/Automation</t>
        </is>
      </c>
      <c r="U48" s="15" t="inlineStr">
        <is>
          <t>Finance/Banking; Healthcare; Technology; Consulting; Telecom; Education/Research</t>
        </is>
      </c>
      <c r="V48" s="15" t="inlineStr">
        <is>
          <t>C:\Workspace\java\scrape_indeed\soft_dav_part_1\1290.html#21107</t>
        </is>
      </c>
    </row>
    <row r="49">
      <c r="A49" s="2">
        <f>IF(COUNTIF('Sample 20'!$B$2:$B$21,B49)&gt;0,"是","")</f>
        <v/>
      </c>
      <c r="B49" s="2" t="inlineStr">
        <is>
          <t>20824</t>
        </is>
      </c>
      <c r="C49" s="15" t="inlineStr">
        <is>
          <t>Software Developer</t>
        </is>
      </c>
      <c r="D49" s="15">
        <f>IF(E49&gt;='Scoring Rules'!$B$3,"强",IF(E49&gt;='Scoring Rules'!$B$4,"中","弱"))</f>
        <v/>
      </c>
      <c r="E49" s="125">
        <f>MIN(100,H49+IF(I49&gt;=5,'Scoring Rules'!$B$16,IF(I49&gt;=3,'Scoring Rules'!$B$17,IF(I49&gt;=1,'Scoring Rules'!$B$18,'Scoring Rules'!$B$19)))+IF(L49="是",'Scoring Rules'!$B$22,0)+MIN(J49*'Scoring Rules'!$B$23,'Scoring Rules'!$B$24)+IF(M49="是",'Scoring Rules'!$B$25,0)+MIN((IF(K49="",0,LEN(K49)-LEN(SUBSTITUTE(K49,";",""))+1))*'Scoring Rules'!$B$26,'Scoring Rules'!$B$27)+IF(N49="是",'Scoring Rules'!$B$28,0)+IF(O49="是",'Scoring Rules'!$B$29,0)+IF(P49="是",'Scoring Rules'!$B$30,0)+IF(Q49="是",'Scoring Rules'!$B$31,0)+IF(R49="是",'Scoring Rules'!$B$32,0)+IF(S49&gt;=8000,'Scoring Rules'!$B$35,IF(S49&gt;=4000,'Scoring Rules'!$B$36,IF(S49&gt;=2000,'Scoring Rules'!$B$37,'Scoring Rules'!$B$38))))</f>
        <v/>
      </c>
      <c r="F49" s="15" t="inlineStr">
        <is>
          <t>Standard</t>
        </is>
      </c>
      <c r="G49" s="15" t="inlineStr">
        <is>
          <t>Bachelor</t>
        </is>
      </c>
      <c r="H49" s="15" t="n">
        <v>12</v>
      </c>
      <c r="I49" s="15" t="n">
        <v>3</v>
      </c>
      <c r="J49" s="15" t="n">
        <v>11</v>
      </c>
      <c r="K49" s="15" t="str"/>
      <c r="L49" s="15" t="inlineStr">
        <is>
          <t>是</t>
        </is>
      </c>
      <c r="M49" s="15" t="str"/>
      <c r="N49" s="15" t="str"/>
      <c r="O49" s="15" t="str"/>
      <c r="P49" s="15" t="str"/>
      <c r="Q49" s="15" t="str"/>
      <c r="R49" s="15" t="inlineStr">
        <is>
          <t>是</t>
        </is>
      </c>
      <c r="S49" s="15" t="n">
        <v>1882</v>
      </c>
      <c r="T49" s="15" t="inlineStr">
        <is>
          <t>Frontend; Backend/API; Data/Database</t>
        </is>
      </c>
      <c r="U49" s="15" t="inlineStr">
        <is>
          <t>Finance/Banking; Government/Defense; Technology; Consulting; Education/Research</t>
        </is>
      </c>
      <c r="V49" s="15" t="inlineStr">
        <is>
          <t>C:\Workspace\java\scrape_indeed\soft_dav_part_1\1291.html#21108</t>
        </is>
      </c>
    </row>
    <row r="50">
      <c r="A50" s="2">
        <f>IF(COUNTIF('Sample 20'!$B$2:$B$21,B50)&gt;0,"是","")</f>
        <v/>
      </c>
      <c r="B50" s="2" t="inlineStr">
        <is>
          <t>20829</t>
        </is>
      </c>
      <c r="C50" s="15" t="inlineStr">
        <is>
          <t>Software Developer</t>
        </is>
      </c>
      <c r="D50" s="15">
        <f>IF(E50&gt;='Scoring Rules'!$B$3,"强",IF(E50&gt;='Scoring Rules'!$B$4,"中","弱"))</f>
        <v/>
      </c>
      <c r="E50" s="125">
        <f>MIN(100,H50+IF(I50&gt;=5,'Scoring Rules'!$B$16,IF(I50&gt;=3,'Scoring Rules'!$B$17,IF(I50&gt;=1,'Scoring Rules'!$B$18,'Scoring Rules'!$B$19)))+IF(L50="是",'Scoring Rules'!$B$22,0)+MIN(J50*'Scoring Rules'!$B$23,'Scoring Rules'!$B$24)+IF(M50="是",'Scoring Rules'!$B$25,0)+MIN((IF(K50="",0,LEN(K50)-LEN(SUBSTITUTE(K50,";",""))+1))*'Scoring Rules'!$B$26,'Scoring Rules'!$B$27)+IF(N50="是",'Scoring Rules'!$B$28,0)+IF(O50="是",'Scoring Rules'!$B$29,0)+IF(P50="是",'Scoring Rules'!$B$30,0)+IF(Q50="是",'Scoring Rules'!$B$31,0)+IF(R50="是",'Scoring Rules'!$B$32,0)+IF(S50&gt;=8000,'Scoring Rules'!$B$35,IF(S50&gt;=4000,'Scoring Rules'!$B$36,IF(S50&gt;=2000,'Scoring Rules'!$B$37,'Scoring Rules'!$B$38))))</f>
        <v/>
      </c>
      <c r="F50" s="15" t="inlineStr">
        <is>
          <t>Standard</t>
        </is>
      </c>
      <c r="G50" s="15" t="inlineStr">
        <is>
          <t>Unspecified</t>
        </is>
      </c>
      <c r="H50" s="15" t="n">
        <v>2</v>
      </c>
      <c r="I50" s="15" t="n">
        <v>5</v>
      </c>
      <c r="J50" s="15" t="n">
        <v>9</v>
      </c>
      <c r="K50" s="15" t="str"/>
      <c r="L50" s="15" t="inlineStr">
        <is>
          <t>是</t>
        </is>
      </c>
      <c r="M50" s="15" t="str"/>
      <c r="N50" s="15" t="str"/>
      <c r="O50" s="15" t="str"/>
      <c r="P50" s="15" t="str"/>
      <c r="Q50" s="15" t="str"/>
      <c r="R50" s="15" t="str"/>
      <c r="S50" s="15" t="n">
        <v>2754</v>
      </c>
      <c r="T50" s="15" t="inlineStr">
        <is>
          <t>Backend/API; Data/Database; Cloud/DevOps</t>
        </is>
      </c>
      <c r="U50" s="15" t="inlineStr">
        <is>
          <t>Healthcare; Technology; Education/Research</t>
        </is>
      </c>
      <c r="V50" s="15" t="inlineStr">
        <is>
          <t>C:\Workspace\java\scrape_indeed\soft_dav_part_1\1297.html#21114</t>
        </is>
      </c>
    </row>
    <row r="51">
      <c r="A51" s="2">
        <f>IF(COUNTIF('Sample 20'!$B$2:$B$21,B51)&gt;0,"是","")</f>
        <v/>
      </c>
      <c r="B51" s="2" t="inlineStr">
        <is>
          <t>20832</t>
        </is>
      </c>
      <c r="C51" s="15" t="inlineStr">
        <is>
          <t>Software Developer</t>
        </is>
      </c>
      <c r="D51" s="15">
        <f>IF(E51&gt;='Scoring Rules'!$B$3,"强",IF(E51&gt;='Scoring Rules'!$B$4,"中","弱"))</f>
        <v/>
      </c>
      <c r="E51" s="125">
        <f>MIN(100,H51+IF(I51&gt;=5,'Scoring Rules'!$B$16,IF(I51&gt;=3,'Scoring Rules'!$B$17,IF(I51&gt;=1,'Scoring Rules'!$B$18,'Scoring Rules'!$B$19)))+IF(L51="是",'Scoring Rules'!$B$22,0)+MIN(J51*'Scoring Rules'!$B$23,'Scoring Rules'!$B$24)+IF(M51="是",'Scoring Rules'!$B$25,0)+MIN((IF(K51="",0,LEN(K51)-LEN(SUBSTITUTE(K51,";",""))+1))*'Scoring Rules'!$B$26,'Scoring Rules'!$B$27)+IF(N51="是",'Scoring Rules'!$B$28,0)+IF(O51="是",'Scoring Rules'!$B$29,0)+IF(P51="是",'Scoring Rules'!$B$30,0)+IF(Q51="是",'Scoring Rules'!$B$31,0)+IF(R51="是",'Scoring Rules'!$B$32,0)+IF(S51&gt;=8000,'Scoring Rules'!$B$35,IF(S51&gt;=4000,'Scoring Rules'!$B$36,IF(S51&gt;=2000,'Scoring Rules'!$B$37,'Scoring Rules'!$B$38))))</f>
        <v/>
      </c>
      <c r="F51" s="15" t="inlineStr">
        <is>
          <t>Standard</t>
        </is>
      </c>
      <c r="G51" s="15" t="inlineStr">
        <is>
          <t>Master</t>
        </is>
      </c>
      <c r="H51" s="15" t="n">
        <v>16</v>
      </c>
      <c r="I51" s="15" t="n">
        <v>1</v>
      </c>
      <c r="J51" s="15" t="n">
        <v>11</v>
      </c>
      <c r="K51" s="15" t="str"/>
      <c r="L51" s="15" t="inlineStr">
        <is>
          <t>是</t>
        </is>
      </c>
      <c r="M51" s="15" t="str"/>
      <c r="N51" s="15" t="str"/>
      <c r="O51" s="15" t="str"/>
      <c r="P51" s="15" t="str"/>
      <c r="Q51" s="15" t="str"/>
      <c r="R51" s="15" t="inlineStr">
        <is>
          <t>是</t>
        </is>
      </c>
      <c r="S51" s="15" t="n">
        <v>2407</v>
      </c>
      <c r="T51" s="15" t="inlineStr">
        <is>
          <t>Frontend; Backend/API; Data/Database</t>
        </is>
      </c>
      <c r="U51" s="15" t="inlineStr">
        <is>
          <t>Technology; Education/Research</t>
        </is>
      </c>
      <c r="V51" s="15" t="inlineStr">
        <is>
          <t>C:\Workspace\java\scrape_indeed\soft_dav_part_1\13.html#21117</t>
        </is>
      </c>
    </row>
    <row r="52">
      <c r="A52" s="2">
        <f>IF(COUNTIF('Sample 20'!$B$2:$B$21,B52)&gt;0,"是","")</f>
        <v/>
      </c>
      <c r="B52" s="2" t="inlineStr">
        <is>
          <t>20837</t>
        </is>
      </c>
      <c r="C52" s="15" t="inlineStr">
        <is>
          <t>Software Developer</t>
        </is>
      </c>
      <c r="D52" s="15">
        <f>IF(E52&gt;='Scoring Rules'!$B$3,"强",IF(E52&gt;='Scoring Rules'!$B$4,"中","弱"))</f>
        <v/>
      </c>
      <c r="E52" s="125">
        <f>MIN(100,H52+IF(I52&gt;=5,'Scoring Rules'!$B$16,IF(I52&gt;=3,'Scoring Rules'!$B$17,IF(I52&gt;=1,'Scoring Rules'!$B$18,'Scoring Rules'!$B$19)))+IF(L52="是",'Scoring Rules'!$B$22,0)+MIN(J52*'Scoring Rules'!$B$23,'Scoring Rules'!$B$24)+IF(M52="是",'Scoring Rules'!$B$25,0)+MIN((IF(K52="",0,LEN(K52)-LEN(SUBSTITUTE(K52,";",""))+1))*'Scoring Rules'!$B$26,'Scoring Rules'!$B$27)+IF(N52="是",'Scoring Rules'!$B$28,0)+IF(O52="是",'Scoring Rules'!$B$29,0)+IF(P52="是",'Scoring Rules'!$B$30,0)+IF(Q52="是",'Scoring Rules'!$B$31,0)+IF(R52="是",'Scoring Rules'!$B$32,0)+IF(S52&gt;=8000,'Scoring Rules'!$B$35,IF(S52&gt;=4000,'Scoring Rules'!$B$36,IF(S52&gt;=2000,'Scoring Rules'!$B$37,'Scoring Rules'!$B$38))))</f>
        <v/>
      </c>
      <c r="F52" s="15" t="inlineStr">
        <is>
          <t>Standard</t>
        </is>
      </c>
      <c r="G52" s="15" t="inlineStr">
        <is>
          <t>Bachelor</t>
        </is>
      </c>
      <c r="H52" s="15" t="n">
        <v>12</v>
      </c>
      <c r="I52" s="15" t="n">
        <v>4</v>
      </c>
      <c r="J52" s="15" t="n">
        <v>8</v>
      </c>
      <c r="K52" s="15" t="str"/>
      <c r="L52" s="15" t="inlineStr">
        <is>
          <t>是</t>
        </is>
      </c>
      <c r="M52" s="15" t="str"/>
      <c r="N52" s="15" t="str"/>
      <c r="O52" s="15" t="inlineStr">
        <is>
          <t>是</t>
        </is>
      </c>
      <c r="P52" s="15" t="str"/>
      <c r="Q52" s="15" t="str"/>
      <c r="R52" s="15" t="str"/>
      <c r="S52" s="15" t="n">
        <v>4118</v>
      </c>
      <c r="T52" s="15" t="inlineStr">
        <is>
          <t>Frontend; Backend/API; Testing/Automation</t>
        </is>
      </c>
      <c r="U52" s="15" t="inlineStr">
        <is>
          <t>Finance/Banking; Government/Defense; Technology; Education/Research; Manufacturing/Automotive</t>
        </is>
      </c>
      <c r="V52" s="15" t="inlineStr">
        <is>
          <t>C:\Workspace\java\scrape_indeed\soft_dav_part_1\1303.html#21122</t>
        </is>
      </c>
    </row>
    <row r="53">
      <c r="A53" s="2">
        <f>IF(COUNTIF('Sample 20'!$B$2:$B$21,B53)&gt;0,"是","")</f>
        <v/>
      </c>
      <c r="B53" s="2" t="inlineStr">
        <is>
          <t>20844</t>
        </is>
      </c>
      <c r="C53" s="15" t="inlineStr">
        <is>
          <t>Software Developer</t>
        </is>
      </c>
      <c r="D53" s="15">
        <f>IF(E53&gt;='Scoring Rules'!$B$3,"强",IF(E53&gt;='Scoring Rules'!$B$4,"中","弱"))</f>
        <v/>
      </c>
      <c r="E53" s="125">
        <f>MIN(100,H53+IF(I53&gt;=5,'Scoring Rules'!$B$16,IF(I53&gt;=3,'Scoring Rules'!$B$17,IF(I53&gt;=1,'Scoring Rules'!$B$18,'Scoring Rules'!$B$19)))+IF(L53="是",'Scoring Rules'!$B$22,0)+MIN(J53*'Scoring Rules'!$B$23,'Scoring Rules'!$B$24)+IF(M53="是",'Scoring Rules'!$B$25,0)+MIN((IF(K53="",0,LEN(K53)-LEN(SUBSTITUTE(K53,";",""))+1))*'Scoring Rules'!$B$26,'Scoring Rules'!$B$27)+IF(N53="是",'Scoring Rules'!$B$28,0)+IF(O53="是",'Scoring Rules'!$B$29,0)+IF(P53="是",'Scoring Rules'!$B$30,0)+IF(Q53="是",'Scoring Rules'!$B$31,0)+IF(R53="是",'Scoring Rules'!$B$32,0)+IF(S53&gt;=8000,'Scoring Rules'!$B$35,IF(S53&gt;=4000,'Scoring Rules'!$B$36,IF(S53&gt;=2000,'Scoring Rules'!$B$37,'Scoring Rules'!$B$38))))</f>
        <v/>
      </c>
      <c r="F53" s="15" t="inlineStr">
        <is>
          <t>Standard</t>
        </is>
      </c>
      <c r="G53" s="15" t="inlineStr">
        <is>
          <t>Unspecified</t>
        </is>
      </c>
      <c r="H53" s="15" t="n">
        <v>2</v>
      </c>
      <c r="I53" s="15" t="n">
        <v>3</v>
      </c>
      <c r="J53" s="15" t="n">
        <v>20</v>
      </c>
      <c r="K53" s="15" t="str"/>
      <c r="L53" s="15" t="inlineStr">
        <is>
          <t>是</t>
        </is>
      </c>
      <c r="M53" s="15" t="str"/>
      <c r="N53" s="15" t="str"/>
      <c r="O53" s="15" t="str"/>
      <c r="P53" s="15" t="inlineStr">
        <is>
          <t>是</t>
        </is>
      </c>
      <c r="Q53" s="15" t="inlineStr">
        <is>
          <t>是</t>
        </is>
      </c>
      <c r="R53" s="15" t="inlineStr">
        <is>
          <t>是</t>
        </is>
      </c>
      <c r="S53" s="15" t="n">
        <v>4249</v>
      </c>
      <c r="T53" s="15" t="inlineStr">
        <is>
          <t>Frontend; Backend/API; Mobile; Data/Database; Cloud/DevOps; Embedded/Systems</t>
        </is>
      </c>
      <c r="U53" s="15" t="inlineStr">
        <is>
          <t>Finance/Banking; Technology; Education/Research</t>
        </is>
      </c>
      <c r="V53" s="15" t="inlineStr">
        <is>
          <t>C:\Workspace\java\scrape_indeed\soft_dav_part_1\131.html#21129</t>
        </is>
      </c>
    </row>
    <row r="54">
      <c r="A54" s="2">
        <f>IF(COUNTIF('Sample 20'!$B$2:$B$21,B54)&gt;0,"是","")</f>
        <v/>
      </c>
      <c r="B54" s="2" t="inlineStr">
        <is>
          <t>20854</t>
        </is>
      </c>
      <c r="C54" s="15" t="inlineStr">
        <is>
          <t>Software Developer</t>
        </is>
      </c>
      <c r="D54" s="15">
        <f>IF(E54&gt;='Scoring Rules'!$B$3,"强",IF(E54&gt;='Scoring Rules'!$B$4,"中","弱"))</f>
        <v/>
      </c>
      <c r="E54" s="125">
        <f>MIN(100,H54+IF(I54&gt;=5,'Scoring Rules'!$B$16,IF(I54&gt;=3,'Scoring Rules'!$B$17,IF(I54&gt;=1,'Scoring Rules'!$B$18,'Scoring Rules'!$B$19)))+IF(L54="是",'Scoring Rules'!$B$22,0)+MIN(J54*'Scoring Rules'!$B$23,'Scoring Rules'!$B$24)+IF(M54="是",'Scoring Rules'!$B$25,0)+MIN((IF(K54="",0,LEN(K54)-LEN(SUBSTITUTE(K54,";",""))+1))*'Scoring Rules'!$B$26,'Scoring Rules'!$B$27)+IF(N54="是",'Scoring Rules'!$B$28,0)+IF(O54="是",'Scoring Rules'!$B$29,0)+IF(P54="是",'Scoring Rules'!$B$30,0)+IF(Q54="是",'Scoring Rules'!$B$31,0)+IF(R54="是",'Scoring Rules'!$B$32,0)+IF(S54&gt;=8000,'Scoring Rules'!$B$35,IF(S54&gt;=4000,'Scoring Rules'!$B$36,IF(S54&gt;=2000,'Scoring Rules'!$B$37,'Scoring Rules'!$B$38))))</f>
        <v/>
      </c>
      <c r="F54" s="15" t="inlineStr">
        <is>
          <t>Standard</t>
        </is>
      </c>
      <c r="G54" s="15" t="inlineStr">
        <is>
          <t>Master</t>
        </is>
      </c>
      <c r="H54" s="15" t="n">
        <v>16</v>
      </c>
      <c r="I54" s="15" t="n">
        <v>6</v>
      </c>
      <c r="J54" s="15" t="n">
        <v>18</v>
      </c>
      <c r="K54" s="15" t="str"/>
      <c r="L54" s="15" t="str"/>
      <c r="M54" s="15" t="str"/>
      <c r="N54" s="15" t="str"/>
      <c r="O54" s="15" t="str"/>
      <c r="P54" s="15" t="str"/>
      <c r="Q54" s="15" t="str"/>
      <c r="R54" s="15" t="inlineStr">
        <is>
          <t>是</t>
        </is>
      </c>
      <c r="S54" s="15" t="n">
        <v>6775</v>
      </c>
      <c r="T54" s="15" t="inlineStr">
        <is>
          <t>Frontend; Backend/API; Mobile; Data/Database; Cloud/DevOps; Testing/Automation</t>
        </is>
      </c>
      <c r="U54" s="15" t="inlineStr">
        <is>
          <t>Finance/Banking; Healthcare; Technology; Consulting; Education/Research; Retail/E-commerce; Manufacturing/Automotive</t>
        </is>
      </c>
      <c r="V54" s="15" t="inlineStr">
        <is>
          <t>C:\Workspace\java\scrape_indeed\soft_dav_part_1\1319.html#21139</t>
        </is>
      </c>
    </row>
    <row r="55">
      <c r="A55" s="2">
        <f>IF(COUNTIF('Sample 20'!$B$2:$B$21,B55)&gt;0,"是","")</f>
        <v/>
      </c>
      <c r="B55" s="2" t="inlineStr">
        <is>
          <t>20861</t>
        </is>
      </c>
      <c r="C55" s="15" t="inlineStr">
        <is>
          <t>Software Developer</t>
        </is>
      </c>
      <c r="D55" s="15">
        <f>IF(E55&gt;='Scoring Rules'!$B$3,"强",IF(E55&gt;='Scoring Rules'!$B$4,"中","弱"))</f>
        <v/>
      </c>
      <c r="E55" s="125">
        <f>MIN(100,H55+IF(I55&gt;=5,'Scoring Rules'!$B$16,IF(I55&gt;=3,'Scoring Rules'!$B$17,IF(I55&gt;=1,'Scoring Rules'!$B$18,'Scoring Rules'!$B$19)))+IF(L55="是",'Scoring Rules'!$B$22,0)+MIN(J55*'Scoring Rules'!$B$23,'Scoring Rules'!$B$24)+IF(M55="是",'Scoring Rules'!$B$25,0)+MIN((IF(K55="",0,LEN(K55)-LEN(SUBSTITUTE(K55,";",""))+1))*'Scoring Rules'!$B$26,'Scoring Rules'!$B$27)+IF(N55="是",'Scoring Rules'!$B$28,0)+IF(O55="是",'Scoring Rules'!$B$29,0)+IF(P55="是",'Scoring Rules'!$B$30,0)+IF(Q55="是",'Scoring Rules'!$B$31,0)+IF(R55="是",'Scoring Rules'!$B$32,0)+IF(S55&gt;=8000,'Scoring Rules'!$B$35,IF(S55&gt;=4000,'Scoring Rules'!$B$36,IF(S55&gt;=2000,'Scoring Rules'!$B$37,'Scoring Rules'!$B$38))))</f>
        <v/>
      </c>
      <c r="F55" s="15" t="inlineStr">
        <is>
          <t>Standard</t>
        </is>
      </c>
      <c r="G55" s="15" t="inlineStr">
        <is>
          <t>Bachelor</t>
        </is>
      </c>
      <c r="H55" s="15" t="n">
        <v>12</v>
      </c>
      <c r="I55" s="15" t="n">
        <v>3</v>
      </c>
      <c r="J55" s="15" t="n">
        <v>13</v>
      </c>
      <c r="K55" s="15" t="str"/>
      <c r="L55" s="15" t="inlineStr">
        <is>
          <t>是</t>
        </is>
      </c>
      <c r="M55" s="15" t="str"/>
      <c r="N55" s="15" t="str"/>
      <c r="O55" s="15" t="str"/>
      <c r="P55" s="15" t="inlineStr">
        <is>
          <t>是</t>
        </is>
      </c>
      <c r="Q55" s="15" t="inlineStr">
        <is>
          <t>是</t>
        </is>
      </c>
      <c r="R55" s="15" t="str"/>
      <c r="S55" s="15" t="n">
        <v>1972</v>
      </c>
      <c r="T55" s="15" t="inlineStr">
        <is>
          <t>Frontend; Backend/API; Data/Database; Embedded/Systems</t>
        </is>
      </c>
      <c r="U55" s="15" t="inlineStr">
        <is>
          <t>Technology; Education/Research</t>
        </is>
      </c>
      <c r="V55" s="15" t="inlineStr">
        <is>
          <t>C:\Workspace\java\scrape_indeed\soft_dav_part_1\1325.html#21146</t>
        </is>
      </c>
    </row>
    <row r="56">
      <c r="A56" s="2">
        <f>IF(COUNTIF('Sample 20'!$B$2:$B$21,B56)&gt;0,"是","")</f>
        <v/>
      </c>
      <c r="B56" s="2" t="inlineStr">
        <is>
          <t>20910</t>
        </is>
      </c>
      <c r="C56" s="15" t="inlineStr">
        <is>
          <t>Software Developer</t>
        </is>
      </c>
      <c r="D56" s="15">
        <f>IF(E56&gt;='Scoring Rules'!$B$3,"强",IF(E56&gt;='Scoring Rules'!$B$4,"中","弱"))</f>
        <v/>
      </c>
      <c r="E56" s="125">
        <f>MIN(100,H56+IF(I56&gt;=5,'Scoring Rules'!$B$16,IF(I56&gt;=3,'Scoring Rules'!$B$17,IF(I56&gt;=1,'Scoring Rules'!$B$18,'Scoring Rules'!$B$19)))+IF(L56="是",'Scoring Rules'!$B$22,0)+MIN(J56*'Scoring Rules'!$B$23,'Scoring Rules'!$B$24)+IF(M56="是",'Scoring Rules'!$B$25,0)+MIN((IF(K56="",0,LEN(K56)-LEN(SUBSTITUTE(K56,";",""))+1))*'Scoring Rules'!$B$26,'Scoring Rules'!$B$27)+IF(N56="是",'Scoring Rules'!$B$28,0)+IF(O56="是",'Scoring Rules'!$B$29,0)+IF(P56="是",'Scoring Rules'!$B$30,0)+IF(Q56="是",'Scoring Rules'!$B$31,0)+IF(R56="是",'Scoring Rules'!$B$32,0)+IF(S56&gt;=8000,'Scoring Rules'!$B$35,IF(S56&gt;=4000,'Scoring Rules'!$B$36,IF(S56&gt;=2000,'Scoring Rules'!$B$37,'Scoring Rules'!$B$38))))</f>
        <v/>
      </c>
      <c r="F56" s="15" t="inlineStr">
        <is>
          <t>Standard</t>
        </is>
      </c>
      <c r="G56" s="15" t="inlineStr">
        <is>
          <t>Master</t>
        </is>
      </c>
      <c r="H56" s="15" t="n">
        <v>16</v>
      </c>
      <c r="I56" s="15" t="n">
        <v>5</v>
      </c>
      <c r="J56" s="15" t="n">
        <v>20</v>
      </c>
      <c r="K56" s="15" t="str"/>
      <c r="L56" s="15" t="inlineStr">
        <is>
          <t>是</t>
        </is>
      </c>
      <c r="M56" s="15" t="str"/>
      <c r="N56" s="15" t="str"/>
      <c r="O56" s="15" t="inlineStr">
        <is>
          <t>是</t>
        </is>
      </c>
      <c r="P56" s="15" t="inlineStr">
        <is>
          <t>是</t>
        </is>
      </c>
      <c r="Q56" s="15" t="inlineStr">
        <is>
          <t>是</t>
        </is>
      </c>
      <c r="R56" s="15" t="inlineStr">
        <is>
          <t>是</t>
        </is>
      </c>
      <c r="S56" s="15" t="n">
        <v>4721</v>
      </c>
      <c r="T56" s="15" t="inlineStr">
        <is>
          <t>Frontend; Backend/API; Data/Database; Cloud/DevOps; Machine Learning</t>
        </is>
      </c>
      <c r="U56" s="15" t="inlineStr">
        <is>
          <t>Technology; Consulting; Education/Research</t>
        </is>
      </c>
      <c r="V56" s="15" t="inlineStr">
        <is>
          <t>C:\Workspace\java\scrape_indeed\soft_dav_part_1\137.html#21195</t>
        </is>
      </c>
    </row>
    <row r="57">
      <c r="A57" s="2">
        <f>IF(COUNTIF('Sample 20'!$B$2:$B$21,B57)&gt;0,"是","")</f>
        <v/>
      </c>
      <c r="B57" s="2" t="inlineStr">
        <is>
          <t>20946</t>
        </is>
      </c>
      <c r="C57" s="15" t="inlineStr">
        <is>
          <t>Software Developer</t>
        </is>
      </c>
      <c r="D57" s="15">
        <f>IF(E57&gt;='Scoring Rules'!$B$3,"强",IF(E57&gt;='Scoring Rules'!$B$4,"中","弱"))</f>
        <v/>
      </c>
      <c r="E57" s="125">
        <f>MIN(100,H57+IF(I57&gt;=5,'Scoring Rules'!$B$16,IF(I57&gt;=3,'Scoring Rules'!$B$17,IF(I57&gt;=1,'Scoring Rules'!$B$18,'Scoring Rules'!$B$19)))+IF(L57="是",'Scoring Rules'!$B$22,0)+MIN(J57*'Scoring Rules'!$B$23,'Scoring Rules'!$B$24)+IF(M57="是",'Scoring Rules'!$B$25,0)+MIN((IF(K57="",0,LEN(K57)-LEN(SUBSTITUTE(K57,";",""))+1))*'Scoring Rules'!$B$26,'Scoring Rules'!$B$27)+IF(N57="是",'Scoring Rules'!$B$28,0)+IF(O57="是",'Scoring Rules'!$B$29,0)+IF(P57="是",'Scoring Rules'!$B$30,0)+IF(Q57="是",'Scoring Rules'!$B$31,0)+IF(R57="是",'Scoring Rules'!$B$32,0)+IF(S57&gt;=8000,'Scoring Rules'!$B$35,IF(S57&gt;=4000,'Scoring Rules'!$B$36,IF(S57&gt;=2000,'Scoring Rules'!$B$37,'Scoring Rules'!$B$38))))</f>
        <v/>
      </c>
      <c r="F57" s="15" t="inlineStr">
        <is>
          <t>Standard</t>
        </is>
      </c>
      <c r="G57" s="15" t="inlineStr">
        <is>
          <t>Master</t>
        </is>
      </c>
      <c r="H57" s="15" t="n">
        <v>16</v>
      </c>
      <c r="I57" s="15" t="n">
        <v>3</v>
      </c>
      <c r="J57" s="15" t="n">
        <v>8</v>
      </c>
      <c r="K57" s="15" t="str"/>
      <c r="L57" s="15" t="inlineStr">
        <is>
          <t>是</t>
        </is>
      </c>
      <c r="M57" s="15" t="str"/>
      <c r="N57" s="15" t="str"/>
      <c r="O57" s="15" t="str"/>
      <c r="P57" s="15" t="str"/>
      <c r="Q57" s="15" t="inlineStr">
        <is>
          <t>是</t>
        </is>
      </c>
      <c r="R57" s="15" t="str"/>
      <c r="S57" s="15" t="n">
        <v>1836</v>
      </c>
      <c r="T57" s="15" t="inlineStr">
        <is>
          <t>Frontend; Backend/API; Mobile; Data/Database; Testing/Automation</t>
        </is>
      </c>
      <c r="U57" s="15" t="inlineStr">
        <is>
          <t>Government/Defense; Technology; Education/Research</t>
        </is>
      </c>
      <c r="V57" s="15" t="inlineStr">
        <is>
          <t>C:\Workspace\java\scrape_indeed\soft_dav_part_1\1403.html#21233</t>
        </is>
      </c>
    </row>
    <row r="58">
      <c r="A58" s="2">
        <f>IF(COUNTIF('Sample 20'!$B$2:$B$21,B58)&gt;0,"是","")</f>
        <v/>
      </c>
      <c r="B58" s="2" t="inlineStr">
        <is>
          <t>20964</t>
        </is>
      </c>
      <c r="C58" s="15" t="inlineStr">
        <is>
          <t>Software Developer</t>
        </is>
      </c>
      <c r="D58" s="15">
        <f>IF(E58&gt;='Scoring Rules'!$B$3,"强",IF(E58&gt;='Scoring Rules'!$B$4,"中","弱"))</f>
        <v/>
      </c>
      <c r="E58" s="125">
        <f>MIN(100,H58+IF(I58&gt;=5,'Scoring Rules'!$B$16,IF(I58&gt;=3,'Scoring Rules'!$B$17,IF(I58&gt;=1,'Scoring Rules'!$B$18,'Scoring Rules'!$B$19)))+IF(L58="是",'Scoring Rules'!$B$22,0)+MIN(J58*'Scoring Rules'!$B$23,'Scoring Rules'!$B$24)+IF(M58="是",'Scoring Rules'!$B$25,0)+MIN((IF(K58="",0,LEN(K58)-LEN(SUBSTITUTE(K58,";",""))+1))*'Scoring Rules'!$B$26,'Scoring Rules'!$B$27)+IF(N58="是",'Scoring Rules'!$B$28,0)+IF(O58="是",'Scoring Rules'!$B$29,0)+IF(P58="是",'Scoring Rules'!$B$30,0)+IF(Q58="是",'Scoring Rules'!$B$31,0)+IF(R58="是",'Scoring Rules'!$B$32,0)+IF(S58&gt;=8000,'Scoring Rules'!$B$35,IF(S58&gt;=4000,'Scoring Rules'!$B$36,IF(S58&gt;=2000,'Scoring Rules'!$B$37,'Scoring Rules'!$B$38))))</f>
        <v/>
      </c>
      <c r="F58" s="15" t="inlineStr">
        <is>
          <t>Standard</t>
        </is>
      </c>
      <c r="G58" s="15" t="inlineStr">
        <is>
          <t>Certificate</t>
        </is>
      </c>
      <c r="H58" s="15" t="n">
        <v>6</v>
      </c>
      <c r="I58" s="15" t="n">
        <v>6</v>
      </c>
      <c r="J58" s="15" t="n">
        <v>5</v>
      </c>
      <c r="K58" s="15" t="str"/>
      <c r="L58" s="15" t="str"/>
      <c r="M58" s="15" t="str"/>
      <c r="N58" s="15" t="str"/>
      <c r="O58" s="15" t="str"/>
      <c r="P58" s="15" t="str"/>
      <c r="Q58" s="15" t="str"/>
      <c r="R58" s="15" t="str"/>
      <c r="S58" s="15" t="n">
        <v>1937</v>
      </c>
      <c r="T58" s="15" t="inlineStr">
        <is>
          <t>Backend/API; Data/Database; Machine Learning</t>
        </is>
      </c>
      <c r="U58" s="15" t="inlineStr">
        <is>
          <t>Finance/Banking; Technology; Education/Research</t>
        </is>
      </c>
      <c r="V58" s="15" t="inlineStr">
        <is>
          <t>C:\Workspace\java\scrape_indeed\soft_dav_part_1\1420.html#21252</t>
        </is>
      </c>
    </row>
    <row r="59">
      <c r="A59" s="2">
        <f>IF(COUNTIF('Sample 20'!$B$2:$B$21,B59)&gt;0,"是","")</f>
        <v/>
      </c>
      <c r="B59" s="2" t="inlineStr">
        <is>
          <t>20975</t>
        </is>
      </c>
      <c r="C59" s="15" t="inlineStr">
        <is>
          <t>Software Developer</t>
        </is>
      </c>
      <c r="D59" s="15">
        <f>IF(E59&gt;='Scoring Rules'!$B$3,"强",IF(E59&gt;='Scoring Rules'!$B$4,"中","弱"))</f>
        <v/>
      </c>
      <c r="E59" s="125">
        <f>MIN(100,H59+IF(I59&gt;=5,'Scoring Rules'!$B$16,IF(I59&gt;=3,'Scoring Rules'!$B$17,IF(I59&gt;=1,'Scoring Rules'!$B$18,'Scoring Rules'!$B$19)))+IF(L59="是",'Scoring Rules'!$B$22,0)+MIN(J59*'Scoring Rules'!$B$23,'Scoring Rules'!$B$24)+IF(M59="是",'Scoring Rules'!$B$25,0)+MIN((IF(K59="",0,LEN(K59)-LEN(SUBSTITUTE(K59,";",""))+1))*'Scoring Rules'!$B$26,'Scoring Rules'!$B$27)+IF(N59="是",'Scoring Rules'!$B$28,0)+IF(O59="是",'Scoring Rules'!$B$29,0)+IF(P59="是",'Scoring Rules'!$B$30,0)+IF(Q59="是",'Scoring Rules'!$B$31,0)+IF(R59="是",'Scoring Rules'!$B$32,0)+IF(S59&gt;=8000,'Scoring Rules'!$B$35,IF(S59&gt;=4000,'Scoring Rules'!$B$36,IF(S59&gt;=2000,'Scoring Rules'!$B$37,'Scoring Rules'!$B$38))))</f>
        <v/>
      </c>
      <c r="F59" s="15" t="inlineStr">
        <is>
          <t>Standard</t>
        </is>
      </c>
      <c r="G59" s="15" t="inlineStr">
        <is>
          <t>Bachelor</t>
        </is>
      </c>
      <c r="H59" s="15" t="n">
        <v>12</v>
      </c>
      <c r="I59" s="15" t="n">
        <v>4</v>
      </c>
      <c r="J59" s="15" t="n">
        <v>9</v>
      </c>
      <c r="K59" s="15" t="str"/>
      <c r="L59" s="15" t="inlineStr">
        <is>
          <t>是</t>
        </is>
      </c>
      <c r="M59" s="15" t="str"/>
      <c r="N59" s="15" t="inlineStr">
        <is>
          <t>是</t>
        </is>
      </c>
      <c r="O59" s="15" t="inlineStr">
        <is>
          <t>是</t>
        </is>
      </c>
      <c r="P59" s="15" t="str"/>
      <c r="Q59" s="15" t="str"/>
      <c r="R59" s="15" t="str"/>
      <c r="S59" s="15" t="n">
        <v>2355</v>
      </c>
      <c r="T59" s="15" t="inlineStr">
        <is>
          <t>Frontend; Backend/API; Data/Database</t>
        </is>
      </c>
      <c r="U59" s="15" t="inlineStr">
        <is>
          <t>Finance/Banking; Technology; Education/Research</t>
        </is>
      </c>
      <c r="V59" s="15" t="inlineStr">
        <is>
          <t>C:\Workspace\java\scrape_indeed\soft_dav_part_1\1430.html#21263</t>
        </is>
      </c>
    </row>
    <row r="60">
      <c r="A60" s="2">
        <f>IF(COUNTIF('Sample 20'!$B$2:$B$21,B60)&gt;0,"是","")</f>
        <v/>
      </c>
      <c r="B60" s="2" t="inlineStr">
        <is>
          <t>20998</t>
        </is>
      </c>
      <c r="C60" s="15" t="inlineStr">
        <is>
          <t>Software Developer</t>
        </is>
      </c>
      <c r="D60" s="15">
        <f>IF(E60&gt;='Scoring Rules'!$B$3,"强",IF(E60&gt;='Scoring Rules'!$B$4,"中","弱"))</f>
        <v/>
      </c>
      <c r="E60" s="125">
        <f>MIN(100,H60+IF(I60&gt;=5,'Scoring Rules'!$B$16,IF(I60&gt;=3,'Scoring Rules'!$B$17,IF(I60&gt;=1,'Scoring Rules'!$B$18,'Scoring Rules'!$B$19)))+IF(L60="是",'Scoring Rules'!$B$22,0)+MIN(J60*'Scoring Rules'!$B$23,'Scoring Rules'!$B$24)+IF(M60="是",'Scoring Rules'!$B$25,0)+MIN((IF(K60="",0,LEN(K60)-LEN(SUBSTITUTE(K60,";",""))+1))*'Scoring Rules'!$B$26,'Scoring Rules'!$B$27)+IF(N60="是",'Scoring Rules'!$B$28,0)+IF(O60="是",'Scoring Rules'!$B$29,0)+IF(P60="是",'Scoring Rules'!$B$30,0)+IF(Q60="是",'Scoring Rules'!$B$31,0)+IF(R60="是",'Scoring Rules'!$B$32,0)+IF(S60&gt;=8000,'Scoring Rules'!$B$35,IF(S60&gt;=4000,'Scoring Rules'!$B$36,IF(S60&gt;=2000,'Scoring Rules'!$B$37,'Scoring Rules'!$B$38))))</f>
        <v/>
      </c>
      <c r="F60" s="15" t="inlineStr">
        <is>
          <t>Standard</t>
        </is>
      </c>
      <c r="G60" s="15" t="inlineStr">
        <is>
          <t>Unspecified</t>
        </is>
      </c>
      <c r="H60" s="15" t="n">
        <v>2</v>
      </c>
      <c r="I60" s="15" t="n">
        <v>3</v>
      </c>
      <c r="J60" s="15" t="n">
        <v>6</v>
      </c>
      <c r="K60" s="15" t="str"/>
      <c r="L60" s="15" t="str"/>
      <c r="M60" s="15" t="str"/>
      <c r="N60" s="15" t="str"/>
      <c r="O60" s="15" t="str"/>
      <c r="P60" s="15" t="inlineStr">
        <is>
          <t>是</t>
        </is>
      </c>
      <c r="Q60" s="15" t="str"/>
      <c r="R60" s="15" t="inlineStr">
        <is>
          <t>是</t>
        </is>
      </c>
      <c r="S60" s="15" t="n">
        <v>2956</v>
      </c>
      <c r="T60" s="15" t="inlineStr">
        <is>
          <t>Data/Database</t>
        </is>
      </c>
      <c r="U60" s="15" t="inlineStr">
        <is>
          <t>Technology; Education/Research; Manufacturing/Automotive</t>
        </is>
      </c>
      <c r="V60" s="15" t="inlineStr">
        <is>
          <t>C:\Workspace\java\scrape_indeed\soft_dav_part_1\1451.html#21286</t>
        </is>
      </c>
    </row>
    <row r="61">
      <c r="A61" s="2">
        <f>IF(COUNTIF('Sample 20'!$B$2:$B$21,B61)&gt;0,"是","")</f>
        <v/>
      </c>
      <c r="B61" s="2" t="inlineStr">
        <is>
          <t>21006</t>
        </is>
      </c>
      <c r="C61" s="15" t="inlineStr">
        <is>
          <t>Software Developer</t>
        </is>
      </c>
      <c r="D61" s="15">
        <f>IF(E61&gt;='Scoring Rules'!$B$3,"强",IF(E61&gt;='Scoring Rules'!$B$4,"中","弱"))</f>
        <v/>
      </c>
      <c r="E61" s="125">
        <f>MIN(100,H61+IF(I61&gt;=5,'Scoring Rules'!$B$16,IF(I61&gt;=3,'Scoring Rules'!$B$17,IF(I61&gt;=1,'Scoring Rules'!$B$18,'Scoring Rules'!$B$19)))+IF(L61="是",'Scoring Rules'!$B$22,0)+MIN(J61*'Scoring Rules'!$B$23,'Scoring Rules'!$B$24)+IF(M61="是",'Scoring Rules'!$B$25,0)+MIN((IF(K61="",0,LEN(K61)-LEN(SUBSTITUTE(K61,";",""))+1))*'Scoring Rules'!$B$26,'Scoring Rules'!$B$27)+IF(N61="是",'Scoring Rules'!$B$28,0)+IF(O61="是",'Scoring Rules'!$B$29,0)+IF(P61="是",'Scoring Rules'!$B$30,0)+IF(Q61="是",'Scoring Rules'!$B$31,0)+IF(R61="是",'Scoring Rules'!$B$32,0)+IF(S61&gt;=8000,'Scoring Rules'!$B$35,IF(S61&gt;=4000,'Scoring Rules'!$B$36,IF(S61&gt;=2000,'Scoring Rules'!$B$37,'Scoring Rules'!$B$38))))</f>
        <v/>
      </c>
      <c r="F61" s="15" t="inlineStr">
        <is>
          <t>Standard</t>
        </is>
      </c>
      <c r="G61" s="15" t="inlineStr">
        <is>
          <t>Unspecified</t>
        </is>
      </c>
      <c r="H61" s="15" t="n">
        <v>2</v>
      </c>
      <c r="I61" s="15" t="n">
        <v>4</v>
      </c>
      <c r="J61" s="15" t="n">
        <v>14</v>
      </c>
      <c r="K61" s="15" t="str"/>
      <c r="L61" s="15" t="inlineStr">
        <is>
          <t>是</t>
        </is>
      </c>
      <c r="M61" s="15" t="str"/>
      <c r="N61" s="15" t="str"/>
      <c r="O61" s="15" t="str"/>
      <c r="P61" s="15" t="str"/>
      <c r="Q61" s="15" t="inlineStr">
        <is>
          <t>是</t>
        </is>
      </c>
      <c r="R61" s="15" t="inlineStr">
        <is>
          <t>是</t>
        </is>
      </c>
      <c r="S61" s="15" t="n">
        <v>2767</v>
      </c>
      <c r="T61" s="15" t="inlineStr">
        <is>
          <t>Frontend; Backend/API; Data/Database</t>
        </is>
      </c>
      <c r="U61" s="15" t="inlineStr">
        <is>
          <t>Finance/Banking; Healthcare; Technology; Education/Research; Retail/E-commerce</t>
        </is>
      </c>
      <c r="V61" s="15" t="inlineStr">
        <is>
          <t>C:\Workspace\java\scrape_indeed\soft_dav_part_1\1459.html#21294</t>
        </is>
      </c>
    </row>
    <row r="62">
      <c r="A62" s="2">
        <f>IF(COUNTIF('Sample 20'!$B$2:$B$21,B62)&gt;0,"是","")</f>
        <v/>
      </c>
      <c r="B62" s="2" t="inlineStr">
        <is>
          <t>21033</t>
        </is>
      </c>
      <c r="C62" s="15" t="inlineStr">
        <is>
          <t>Software Developer</t>
        </is>
      </c>
      <c r="D62" s="15">
        <f>IF(E62&gt;='Scoring Rules'!$B$3,"强",IF(E62&gt;='Scoring Rules'!$B$4,"中","弱"))</f>
        <v/>
      </c>
      <c r="E62" s="125">
        <f>MIN(100,H62+IF(I62&gt;=5,'Scoring Rules'!$B$16,IF(I62&gt;=3,'Scoring Rules'!$B$17,IF(I62&gt;=1,'Scoring Rules'!$B$18,'Scoring Rules'!$B$19)))+IF(L62="是",'Scoring Rules'!$B$22,0)+MIN(J62*'Scoring Rules'!$B$23,'Scoring Rules'!$B$24)+IF(M62="是",'Scoring Rules'!$B$25,0)+MIN((IF(K62="",0,LEN(K62)-LEN(SUBSTITUTE(K62,";",""))+1))*'Scoring Rules'!$B$26,'Scoring Rules'!$B$27)+IF(N62="是",'Scoring Rules'!$B$28,0)+IF(O62="是",'Scoring Rules'!$B$29,0)+IF(P62="是",'Scoring Rules'!$B$30,0)+IF(Q62="是",'Scoring Rules'!$B$31,0)+IF(R62="是",'Scoring Rules'!$B$32,0)+IF(S62&gt;=8000,'Scoring Rules'!$B$35,IF(S62&gt;=4000,'Scoring Rules'!$B$36,IF(S62&gt;=2000,'Scoring Rules'!$B$37,'Scoring Rules'!$B$38))))</f>
        <v/>
      </c>
      <c r="F62" s="15" t="inlineStr">
        <is>
          <t>Standard</t>
        </is>
      </c>
      <c r="G62" s="15" t="inlineStr">
        <is>
          <t>Bachelor</t>
        </is>
      </c>
      <c r="H62" s="15" t="n">
        <v>12</v>
      </c>
      <c r="I62" s="15" t="n">
        <v>4</v>
      </c>
      <c r="J62" s="15" t="n">
        <v>13</v>
      </c>
      <c r="K62" s="15" t="str"/>
      <c r="L62" s="15" t="inlineStr">
        <is>
          <t>是</t>
        </is>
      </c>
      <c r="M62" s="15" t="str"/>
      <c r="N62" s="15" t="str"/>
      <c r="O62" s="15" t="str"/>
      <c r="P62" s="15" t="str"/>
      <c r="Q62" s="15" t="inlineStr">
        <is>
          <t>是</t>
        </is>
      </c>
      <c r="R62" s="15" t="inlineStr">
        <is>
          <t>是</t>
        </is>
      </c>
      <c r="S62" s="15" t="n">
        <v>3491</v>
      </c>
      <c r="T62" s="15" t="inlineStr">
        <is>
          <t>Frontend; Backend/API; Mobile; Data/Database</t>
        </is>
      </c>
      <c r="U62" s="15" t="inlineStr">
        <is>
          <t>Healthcare; Technology; Education/Research</t>
        </is>
      </c>
      <c r="V62" s="15" t="inlineStr">
        <is>
          <t>C:\Workspace\java\scrape_indeed\soft_dav_part_1\1483.html#21321</t>
        </is>
      </c>
    </row>
    <row r="63">
      <c r="A63" s="2">
        <f>IF(COUNTIF('Sample 20'!$B$2:$B$21,B63)&gt;0,"是","")</f>
        <v/>
      </c>
      <c r="B63" s="2" t="inlineStr">
        <is>
          <t>21044</t>
        </is>
      </c>
      <c r="C63" s="15" t="inlineStr">
        <is>
          <t>Software Developer</t>
        </is>
      </c>
      <c r="D63" s="15">
        <f>IF(E63&gt;='Scoring Rules'!$B$3,"强",IF(E63&gt;='Scoring Rules'!$B$4,"中","弱"))</f>
        <v/>
      </c>
      <c r="E63" s="125">
        <f>MIN(100,H63+IF(I63&gt;=5,'Scoring Rules'!$B$16,IF(I63&gt;=3,'Scoring Rules'!$B$17,IF(I63&gt;=1,'Scoring Rules'!$B$18,'Scoring Rules'!$B$19)))+IF(L63="是",'Scoring Rules'!$B$22,0)+MIN(J63*'Scoring Rules'!$B$23,'Scoring Rules'!$B$24)+IF(M63="是",'Scoring Rules'!$B$25,0)+MIN((IF(K63="",0,LEN(K63)-LEN(SUBSTITUTE(K63,";",""))+1))*'Scoring Rules'!$B$26,'Scoring Rules'!$B$27)+IF(N63="是",'Scoring Rules'!$B$28,0)+IF(O63="是",'Scoring Rules'!$B$29,0)+IF(P63="是",'Scoring Rules'!$B$30,0)+IF(Q63="是",'Scoring Rules'!$B$31,0)+IF(R63="是",'Scoring Rules'!$B$32,0)+IF(S63&gt;=8000,'Scoring Rules'!$B$35,IF(S63&gt;=4000,'Scoring Rules'!$B$36,IF(S63&gt;=2000,'Scoring Rules'!$B$37,'Scoring Rules'!$B$38))))</f>
        <v/>
      </c>
      <c r="F63" s="15" t="inlineStr">
        <is>
          <t>Standard</t>
        </is>
      </c>
      <c r="G63" s="15" t="inlineStr">
        <is>
          <t>Associate</t>
        </is>
      </c>
      <c r="H63" s="15" t="n">
        <v>8</v>
      </c>
      <c r="I63" s="15" t="n">
        <v>1</v>
      </c>
      <c r="J63" s="15" t="n">
        <v>16</v>
      </c>
      <c r="K63" s="15" t="str"/>
      <c r="L63" s="15" t="inlineStr">
        <is>
          <t>是</t>
        </is>
      </c>
      <c r="M63" s="15" t="str"/>
      <c r="N63" s="15" t="str"/>
      <c r="O63" s="15" t="str"/>
      <c r="P63" s="15" t="str"/>
      <c r="Q63" s="15" t="inlineStr">
        <is>
          <t>是</t>
        </is>
      </c>
      <c r="R63" s="15" t="str"/>
      <c r="S63" s="15" t="n">
        <v>3178</v>
      </c>
      <c r="T63" s="15" t="inlineStr">
        <is>
          <t>Frontend; Backend/API; Data/Database; Embedded/Systems</t>
        </is>
      </c>
      <c r="U63" s="15" t="inlineStr">
        <is>
          <t>Finance/Banking; Technology; Education/Research</t>
        </is>
      </c>
      <c r="V63" s="15" t="inlineStr">
        <is>
          <t>C:\Workspace\java\scrape_indeed\soft_dav_part_1\15.html#21339</t>
        </is>
      </c>
    </row>
    <row r="64">
      <c r="A64" s="2">
        <f>IF(COUNTIF('Sample 20'!$B$2:$B$21,B64)&gt;0,"是","")</f>
        <v/>
      </c>
      <c r="B64" s="2" t="inlineStr">
        <is>
          <t>21073</t>
        </is>
      </c>
      <c r="C64" s="15" t="inlineStr">
        <is>
          <t>SOFTWARE DEVELOPER</t>
        </is>
      </c>
      <c r="D64" s="15">
        <f>IF(E64&gt;='Scoring Rules'!$B$3,"强",IF(E64&gt;='Scoring Rules'!$B$4,"中","弱"))</f>
        <v/>
      </c>
      <c r="E64" s="125">
        <f>MIN(100,H64+IF(I64&gt;=5,'Scoring Rules'!$B$16,IF(I64&gt;=3,'Scoring Rules'!$B$17,IF(I64&gt;=1,'Scoring Rules'!$B$18,'Scoring Rules'!$B$19)))+IF(L64="是",'Scoring Rules'!$B$22,0)+MIN(J64*'Scoring Rules'!$B$23,'Scoring Rules'!$B$24)+IF(M64="是",'Scoring Rules'!$B$25,0)+MIN((IF(K64="",0,LEN(K64)-LEN(SUBSTITUTE(K64,";",""))+1))*'Scoring Rules'!$B$26,'Scoring Rules'!$B$27)+IF(N64="是",'Scoring Rules'!$B$28,0)+IF(O64="是",'Scoring Rules'!$B$29,0)+IF(P64="是",'Scoring Rules'!$B$30,0)+IF(Q64="是",'Scoring Rules'!$B$31,0)+IF(R64="是",'Scoring Rules'!$B$32,0)+IF(S64&gt;=8000,'Scoring Rules'!$B$35,IF(S64&gt;=4000,'Scoring Rules'!$B$36,IF(S64&gt;=2000,'Scoring Rules'!$B$37,'Scoring Rules'!$B$38))))</f>
        <v/>
      </c>
      <c r="F64" s="15" t="inlineStr">
        <is>
          <t>Standard</t>
        </is>
      </c>
      <c r="G64" s="15" t="inlineStr">
        <is>
          <t>Bachelor</t>
        </is>
      </c>
      <c r="H64" s="15" t="n">
        <v>12</v>
      </c>
      <c r="I64" s="15" t="n">
        <v>2</v>
      </c>
      <c r="J64" s="15" t="n">
        <v>12</v>
      </c>
      <c r="K64" s="15" t="str"/>
      <c r="L64" s="15" t="inlineStr">
        <is>
          <t>是</t>
        </is>
      </c>
      <c r="M64" s="15" t="str"/>
      <c r="N64" s="15" t="str"/>
      <c r="O64" s="15" t="str"/>
      <c r="P64" s="15" t="str"/>
      <c r="Q64" s="15" t="inlineStr">
        <is>
          <t>是</t>
        </is>
      </c>
      <c r="R64" s="15" t="inlineStr">
        <is>
          <t>是</t>
        </is>
      </c>
      <c r="S64" s="15" t="n">
        <v>1551</v>
      </c>
      <c r="T64" s="15" t="inlineStr">
        <is>
          <t>Frontend; Backend/API; Data/Database; Testing/Automation</t>
        </is>
      </c>
      <c r="U64" s="15" t="inlineStr">
        <is>
          <t>Technology; Education/Research; Manufacturing/Automotive</t>
        </is>
      </c>
      <c r="V64" s="15" t="inlineStr">
        <is>
          <t>C:\Workspace\java\scrape_indeed\soft_dav_part_1\1567.html#21414</t>
        </is>
      </c>
    </row>
    <row r="65">
      <c r="A65" s="2">
        <f>IF(COUNTIF('Sample 20'!$B$2:$B$21,B65)&gt;0,"是","")</f>
        <v/>
      </c>
      <c r="B65" s="2" t="inlineStr">
        <is>
          <t>21084</t>
        </is>
      </c>
      <c r="C65" s="15" t="inlineStr">
        <is>
          <t>SOFTWARE DEVELOPER</t>
        </is>
      </c>
      <c r="D65" s="15">
        <f>IF(E65&gt;='Scoring Rules'!$B$3,"强",IF(E65&gt;='Scoring Rules'!$B$4,"中","弱"))</f>
        <v/>
      </c>
      <c r="E65" s="125">
        <f>MIN(100,H65+IF(I65&gt;=5,'Scoring Rules'!$B$16,IF(I65&gt;=3,'Scoring Rules'!$B$17,IF(I65&gt;=1,'Scoring Rules'!$B$18,'Scoring Rules'!$B$19)))+IF(L65="是",'Scoring Rules'!$B$22,0)+MIN(J65*'Scoring Rules'!$B$23,'Scoring Rules'!$B$24)+IF(M65="是",'Scoring Rules'!$B$25,0)+MIN((IF(K65="",0,LEN(K65)-LEN(SUBSTITUTE(K65,";",""))+1))*'Scoring Rules'!$B$26,'Scoring Rules'!$B$27)+IF(N65="是",'Scoring Rules'!$B$28,0)+IF(O65="是",'Scoring Rules'!$B$29,0)+IF(P65="是",'Scoring Rules'!$B$30,0)+IF(Q65="是",'Scoring Rules'!$B$31,0)+IF(R65="是",'Scoring Rules'!$B$32,0)+IF(S65&gt;=8000,'Scoring Rules'!$B$35,IF(S65&gt;=4000,'Scoring Rules'!$B$36,IF(S65&gt;=2000,'Scoring Rules'!$B$37,'Scoring Rules'!$B$38))))</f>
        <v/>
      </c>
      <c r="F65" s="15" t="inlineStr">
        <is>
          <t>Standard</t>
        </is>
      </c>
      <c r="G65" s="15" t="inlineStr">
        <is>
          <t>Unspecified</t>
        </is>
      </c>
      <c r="H65" s="15" t="n">
        <v>2</v>
      </c>
      <c r="I65" s="15" t="n">
        <v>3</v>
      </c>
      <c r="J65" s="15" t="n">
        <v>13</v>
      </c>
      <c r="K65" s="15" t="str"/>
      <c r="L65" s="15" t="inlineStr">
        <is>
          <t>是</t>
        </is>
      </c>
      <c r="M65" s="15" t="str"/>
      <c r="N65" s="15" t="str"/>
      <c r="O65" s="15" t="str"/>
      <c r="P65" s="15" t="inlineStr">
        <is>
          <t>是</t>
        </is>
      </c>
      <c r="Q65" s="15" t="inlineStr">
        <is>
          <t>是</t>
        </is>
      </c>
      <c r="R65" s="15" t="inlineStr">
        <is>
          <t>是</t>
        </is>
      </c>
      <c r="S65" s="15" t="n">
        <v>1433</v>
      </c>
      <c r="T65" s="15" t="inlineStr">
        <is>
          <t>Frontend; Backend/API; Data/Database; Cloud/DevOps</t>
        </is>
      </c>
      <c r="U65" s="15" t="inlineStr">
        <is>
          <t>Technology; Education/Research; Retail/E-commerce</t>
        </is>
      </c>
      <c r="V65" s="15" t="inlineStr">
        <is>
          <t>C:\Workspace\java\scrape_indeed\soft_dav_part_1\1578.html#21426</t>
        </is>
      </c>
    </row>
    <row r="66">
      <c r="A66" s="2">
        <f>IF(COUNTIF('Sample 20'!$B$2:$B$21,B66)&gt;0,"是","")</f>
        <v/>
      </c>
      <c r="B66" s="2" t="inlineStr">
        <is>
          <t>21086</t>
        </is>
      </c>
      <c r="C66" s="15" t="inlineStr">
        <is>
          <t>Software Developer</t>
        </is>
      </c>
      <c r="D66" s="15">
        <f>IF(E66&gt;='Scoring Rules'!$B$3,"强",IF(E66&gt;='Scoring Rules'!$B$4,"中","弱"))</f>
        <v/>
      </c>
      <c r="E66" s="125">
        <f>MIN(100,H66+IF(I66&gt;=5,'Scoring Rules'!$B$16,IF(I66&gt;=3,'Scoring Rules'!$B$17,IF(I66&gt;=1,'Scoring Rules'!$B$18,'Scoring Rules'!$B$19)))+IF(L66="是",'Scoring Rules'!$B$22,0)+MIN(J66*'Scoring Rules'!$B$23,'Scoring Rules'!$B$24)+IF(M66="是",'Scoring Rules'!$B$25,0)+MIN((IF(K66="",0,LEN(K66)-LEN(SUBSTITUTE(K66,";",""))+1))*'Scoring Rules'!$B$26,'Scoring Rules'!$B$27)+IF(N66="是",'Scoring Rules'!$B$28,0)+IF(O66="是",'Scoring Rules'!$B$29,0)+IF(P66="是",'Scoring Rules'!$B$30,0)+IF(Q66="是",'Scoring Rules'!$B$31,0)+IF(R66="是",'Scoring Rules'!$B$32,0)+IF(S66&gt;=8000,'Scoring Rules'!$B$35,IF(S66&gt;=4000,'Scoring Rules'!$B$36,IF(S66&gt;=2000,'Scoring Rules'!$B$37,'Scoring Rules'!$B$38))))</f>
        <v/>
      </c>
      <c r="F66" s="15" t="inlineStr">
        <is>
          <t>Standard</t>
        </is>
      </c>
      <c r="G66" s="15" t="inlineStr">
        <is>
          <t>Bachelor</t>
        </is>
      </c>
      <c r="H66" s="15" t="n">
        <v>12</v>
      </c>
      <c r="I66" s="15" t="n">
        <v>3</v>
      </c>
      <c r="J66" s="15" t="n">
        <v>18</v>
      </c>
      <c r="K66" s="15" t="str"/>
      <c r="L66" s="15" t="inlineStr">
        <is>
          <t>是</t>
        </is>
      </c>
      <c r="M66" s="15" t="str"/>
      <c r="N66" s="15" t="str"/>
      <c r="O66" s="15" t="str"/>
      <c r="P66" s="15" t="str"/>
      <c r="Q66" s="15" t="inlineStr">
        <is>
          <t>是</t>
        </is>
      </c>
      <c r="R66" s="15" t="str"/>
      <c r="S66" s="15" t="n">
        <v>3183</v>
      </c>
      <c r="T66" s="15" t="inlineStr">
        <is>
          <t>Frontend; Backend/API; Data/Database; Testing/Automation</t>
        </is>
      </c>
      <c r="U66" s="15" t="inlineStr">
        <is>
          <t>Technology; Education/Research</t>
        </is>
      </c>
      <c r="V66" s="15" t="inlineStr">
        <is>
          <t>C:\Workspace\java\scrape_indeed\soft_dav_part_1\158.html#21428</t>
        </is>
      </c>
    </row>
    <row r="67">
      <c r="A67" s="2">
        <f>IF(COUNTIF('Sample 20'!$B$2:$B$21,B67)&gt;0,"是","")</f>
        <v/>
      </c>
      <c r="B67" s="2" t="inlineStr">
        <is>
          <t>21098</t>
        </is>
      </c>
      <c r="C67" s="15" t="inlineStr">
        <is>
          <t>Software Developer</t>
        </is>
      </c>
      <c r="D67" s="15">
        <f>IF(E67&gt;='Scoring Rules'!$B$3,"强",IF(E67&gt;='Scoring Rules'!$B$4,"中","弱"))</f>
        <v/>
      </c>
      <c r="E67" s="125">
        <f>MIN(100,H67+IF(I67&gt;=5,'Scoring Rules'!$B$16,IF(I67&gt;=3,'Scoring Rules'!$B$17,IF(I67&gt;=1,'Scoring Rules'!$B$18,'Scoring Rules'!$B$19)))+IF(L67="是",'Scoring Rules'!$B$22,0)+MIN(J67*'Scoring Rules'!$B$23,'Scoring Rules'!$B$24)+IF(M67="是",'Scoring Rules'!$B$25,0)+MIN((IF(K67="",0,LEN(K67)-LEN(SUBSTITUTE(K67,";",""))+1))*'Scoring Rules'!$B$26,'Scoring Rules'!$B$27)+IF(N67="是",'Scoring Rules'!$B$28,0)+IF(O67="是",'Scoring Rules'!$B$29,0)+IF(P67="是",'Scoring Rules'!$B$30,0)+IF(Q67="是",'Scoring Rules'!$B$31,0)+IF(R67="是",'Scoring Rules'!$B$32,0)+IF(S67&gt;=8000,'Scoring Rules'!$B$35,IF(S67&gt;=4000,'Scoring Rules'!$B$36,IF(S67&gt;=2000,'Scoring Rules'!$B$37,'Scoring Rules'!$B$38))))</f>
        <v/>
      </c>
      <c r="F67" s="15" t="inlineStr">
        <is>
          <t>Standard</t>
        </is>
      </c>
      <c r="G67" s="15" t="inlineStr">
        <is>
          <t>Bachelor</t>
        </is>
      </c>
      <c r="H67" s="15" t="n">
        <v>12</v>
      </c>
      <c r="I67" s="15" t="n">
        <v>2</v>
      </c>
      <c r="J67" s="15" t="n">
        <v>11</v>
      </c>
      <c r="K67" s="15" t="str"/>
      <c r="L67" s="15" t="inlineStr">
        <is>
          <t>是</t>
        </is>
      </c>
      <c r="M67" s="15" t="str"/>
      <c r="N67" s="15" t="str"/>
      <c r="O67" s="15" t="str"/>
      <c r="P67" s="15" t="inlineStr">
        <is>
          <t>是</t>
        </is>
      </c>
      <c r="Q67" s="15" t="inlineStr">
        <is>
          <t>是</t>
        </is>
      </c>
      <c r="R67" s="15" t="inlineStr">
        <is>
          <t>是</t>
        </is>
      </c>
      <c r="S67" s="15" t="n">
        <v>2354</v>
      </c>
      <c r="T67" s="15" t="inlineStr">
        <is>
          <t>Frontend; Backend/API; Data/Database</t>
        </is>
      </c>
      <c r="U67" s="15" t="inlineStr">
        <is>
          <t>Technology; Consulting; Education/Research</t>
        </is>
      </c>
      <c r="V67" s="15" t="inlineStr">
        <is>
          <t>C:\Workspace\java\scrape_indeed\soft_dav_part_1\1590.html#21440</t>
        </is>
      </c>
    </row>
    <row r="68">
      <c r="A68" s="2">
        <f>IF(COUNTIF('Sample 20'!$B$2:$B$21,B68)&gt;0,"是","")</f>
        <v/>
      </c>
      <c r="B68" s="2" t="inlineStr">
        <is>
          <t>21108</t>
        </is>
      </c>
      <c r="C68" s="15" t="inlineStr">
        <is>
          <t>Software Developer</t>
        </is>
      </c>
      <c r="D68" s="15">
        <f>IF(E68&gt;='Scoring Rules'!$B$3,"强",IF(E68&gt;='Scoring Rules'!$B$4,"中","弱"))</f>
        <v/>
      </c>
      <c r="E68" s="125">
        <f>MIN(100,H68+IF(I68&gt;=5,'Scoring Rules'!$B$16,IF(I68&gt;=3,'Scoring Rules'!$B$17,IF(I68&gt;=1,'Scoring Rules'!$B$18,'Scoring Rules'!$B$19)))+IF(L68="是",'Scoring Rules'!$B$22,0)+MIN(J68*'Scoring Rules'!$B$23,'Scoring Rules'!$B$24)+IF(M68="是",'Scoring Rules'!$B$25,0)+MIN((IF(K68="",0,LEN(K68)-LEN(SUBSTITUTE(K68,";",""))+1))*'Scoring Rules'!$B$26,'Scoring Rules'!$B$27)+IF(N68="是",'Scoring Rules'!$B$28,0)+IF(O68="是",'Scoring Rules'!$B$29,0)+IF(P68="是",'Scoring Rules'!$B$30,0)+IF(Q68="是",'Scoring Rules'!$B$31,0)+IF(R68="是",'Scoring Rules'!$B$32,0)+IF(S68&gt;=8000,'Scoring Rules'!$B$35,IF(S68&gt;=4000,'Scoring Rules'!$B$36,IF(S68&gt;=2000,'Scoring Rules'!$B$37,'Scoring Rules'!$B$38))))</f>
        <v/>
      </c>
      <c r="F68" s="15" t="inlineStr">
        <is>
          <t>Standard</t>
        </is>
      </c>
      <c r="G68" s="15" t="inlineStr">
        <is>
          <t>High School</t>
        </is>
      </c>
      <c r="H68" s="15" t="n">
        <v>5</v>
      </c>
      <c r="I68" s="15" t="n">
        <v>1</v>
      </c>
      <c r="J68" s="15" t="n">
        <v>5</v>
      </c>
      <c r="K68" s="15" t="str"/>
      <c r="L68" s="15" t="str"/>
      <c r="M68" s="15" t="str"/>
      <c r="N68" s="15" t="str"/>
      <c r="O68" s="15" t="str"/>
      <c r="P68" s="15" t="str"/>
      <c r="Q68" s="15" t="inlineStr">
        <is>
          <t>是</t>
        </is>
      </c>
      <c r="R68" s="15" t="str"/>
      <c r="S68" s="15" t="n">
        <v>4509</v>
      </c>
      <c r="T68" s="15" t="inlineStr">
        <is>
          <t>Backend/API; Data/Database</t>
        </is>
      </c>
      <c r="U68" s="15" t="inlineStr">
        <is>
          <t>Technology; Education/Research</t>
        </is>
      </c>
      <c r="V68" s="15" t="inlineStr">
        <is>
          <t>C:\Workspace\java\scrape_indeed\soft_dav_part_1\16.html#21450</t>
        </is>
      </c>
    </row>
    <row r="69">
      <c r="A69" s="2">
        <f>IF(COUNTIF('Sample 20'!$B$2:$B$21,B69)&gt;0,"是","")</f>
        <v/>
      </c>
      <c r="B69" s="2" t="inlineStr">
        <is>
          <t>21131</t>
        </is>
      </c>
      <c r="C69" s="15" t="inlineStr">
        <is>
          <t>Software Developer</t>
        </is>
      </c>
      <c r="D69" s="15">
        <f>IF(E69&gt;='Scoring Rules'!$B$3,"强",IF(E69&gt;='Scoring Rules'!$B$4,"中","弱"))</f>
        <v/>
      </c>
      <c r="E69" s="125">
        <f>MIN(100,H69+IF(I69&gt;=5,'Scoring Rules'!$B$16,IF(I69&gt;=3,'Scoring Rules'!$B$17,IF(I69&gt;=1,'Scoring Rules'!$B$18,'Scoring Rules'!$B$19)))+IF(L69="是",'Scoring Rules'!$B$22,0)+MIN(J69*'Scoring Rules'!$B$23,'Scoring Rules'!$B$24)+IF(M69="是",'Scoring Rules'!$B$25,0)+MIN((IF(K69="",0,LEN(K69)-LEN(SUBSTITUTE(K69,";",""))+1))*'Scoring Rules'!$B$26,'Scoring Rules'!$B$27)+IF(N69="是",'Scoring Rules'!$B$28,0)+IF(O69="是",'Scoring Rules'!$B$29,0)+IF(P69="是",'Scoring Rules'!$B$30,0)+IF(Q69="是",'Scoring Rules'!$B$31,0)+IF(R69="是",'Scoring Rules'!$B$32,0)+IF(S69&gt;=8000,'Scoring Rules'!$B$35,IF(S69&gt;=4000,'Scoring Rules'!$B$36,IF(S69&gt;=2000,'Scoring Rules'!$B$37,'Scoring Rules'!$B$38))))</f>
        <v/>
      </c>
      <c r="F69" s="15" t="inlineStr">
        <is>
          <t>Standard</t>
        </is>
      </c>
      <c r="G69" s="15" t="inlineStr">
        <is>
          <t>Master</t>
        </is>
      </c>
      <c r="H69" s="15" t="n">
        <v>16</v>
      </c>
      <c r="I69" s="15" t="n">
        <v>4</v>
      </c>
      <c r="J69" s="15" t="n">
        <v>28</v>
      </c>
      <c r="K69" s="15" t="inlineStr">
        <is>
          <t>AWS</t>
        </is>
      </c>
      <c r="L69" s="15" t="inlineStr">
        <is>
          <t>是</t>
        </is>
      </c>
      <c r="M69" s="15" t="str"/>
      <c r="N69" s="15" t="str"/>
      <c r="O69" s="15" t="str"/>
      <c r="P69" s="15" t="inlineStr">
        <is>
          <t>是</t>
        </is>
      </c>
      <c r="Q69" s="15" t="str"/>
      <c r="R69" s="15" t="inlineStr">
        <is>
          <t>是</t>
        </is>
      </c>
      <c r="S69" s="15" t="n">
        <v>6480</v>
      </c>
      <c r="T69" s="15" t="inlineStr">
        <is>
          <t>Frontend; Backend/API; Mobile; Data/Database; Cloud/DevOps; Testing/Automation</t>
        </is>
      </c>
      <c r="U69" s="15" t="inlineStr">
        <is>
          <t>Finance/Banking; Technology; Education/Research</t>
        </is>
      </c>
      <c r="V69" s="15" t="inlineStr">
        <is>
          <t>C:\Workspace\java\scrape_indeed\soft_dav_part_1\162.html#21473</t>
        </is>
      </c>
    </row>
    <row r="70">
      <c r="A70" s="2">
        <f>IF(COUNTIF('Sample 20'!$B$2:$B$21,B70)&gt;0,"是","")</f>
        <v/>
      </c>
      <c r="B70" s="2" t="inlineStr">
        <is>
          <t>21147</t>
        </is>
      </c>
      <c r="C70" s="15" t="inlineStr">
        <is>
          <t>Software Developer</t>
        </is>
      </c>
      <c r="D70" s="15">
        <f>IF(E70&gt;='Scoring Rules'!$B$3,"强",IF(E70&gt;='Scoring Rules'!$B$4,"中","弱"))</f>
        <v/>
      </c>
      <c r="E70" s="125">
        <f>MIN(100,H70+IF(I70&gt;=5,'Scoring Rules'!$B$16,IF(I70&gt;=3,'Scoring Rules'!$B$17,IF(I70&gt;=1,'Scoring Rules'!$B$18,'Scoring Rules'!$B$19)))+IF(L70="是",'Scoring Rules'!$B$22,0)+MIN(J70*'Scoring Rules'!$B$23,'Scoring Rules'!$B$24)+IF(M70="是",'Scoring Rules'!$B$25,0)+MIN((IF(K70="",0,LEN(K70)-LEN(SUBSTITUTE(K70,";",""))+1))*'Scoring Rules'!$B$26,'Scoring Rules'!$B$27)+IF(N70="是",'Scoring Rules'!$B$28,0)+IF(O70="是",'Scoring Rules'!$B$29,0)+IF(P70="是",'Scoring Rules'!$B$30,0)+IF(Q70="是",'Scoring Rules'!$B$31,0)+IF(R70="是",'Scoring Rules'!$B$32,0)+IF(S70&gt;=8000,'Scoring Rules'!$B$35,IF(S70&gt;=4000,'Scoring Rules'!$B$36,IF(S70&gt;=2000,'Scoring Rules'!$B$37,'Scoring Rules'!$B$38))))</f>
        <v/>
      </c>
      <c r="F70" s="15" t="inlineStr">
        <is>
          <t>Standard</t>
        </is>
      </c>
      <c r="G70" s="15" t="inlineStr">
        <is>
          <t>Bachelor</t>
        </is>
      </c>
      <c r="H70" s="15" t="n">
        <v>12</v>
      </c>
      <c r="I70" s="15" t="n">
        <v>3</v>
      </c>
      <c r="J70" s="15" t="n">
        <v>7</v>
      </c>
      <c r="K70" s="15" t="str"/>
      <c r="L70" s="15" t="inlineStr">
        <is>
          <t>是</t>
        </is>
      </c>
      <c r="M70" s="15" t="str"/>
      <c r="N70" s="15" t="str"/>
      <c r="O70" s="15" t="str"/>
      <c r="P70" s="15" t="str"/>
      <c r="Q70" s="15" t="str"/>
      <c r="R70" s="15" t="inlineStr">
        <is>
          <t>是</t>
        </is>
      </c>
      <c r="S70" s="15" t="n">
        <v>2917</v>
      </c>
      <c r="T70" s="15" t="inlineStr">
        <is>
          <t>Frontend; Backend/API; Data/Database; Testing/Automation</t>
        </is>
      </c>
      <c r="U70" s="15" t="inlineStr">
        <is>
          <t>Finance/Banking; Healthcare; Technology; Education/Research</t>
        </is>
      </c>
      <c r="V70" s="15" t="inlineStr">
        <is>
          <t>C:\Workspace\java\scrape_indeed\soft_dav_part_1\1634.html#21489</t>
        </is>
      </c>
    </row>
    <row r="71">
      <c r="A71" s="2">
        <f>IF(COUNTIF('Sample 20'!$B$2:$B$21,B71)&gt;0,"是","")</f>
        <v/>
      </c>
      <c r="B71" s="2" t="inlineStr">
        <is>
          <t>21156</t>
        </is>
      </c>
      <c r="C71" s="15" t="inlineStr">
        <is>
          <t>Software Developer</t>
        </is>
      </c>
      <c r="D71" s="15">
        <f>IF(E71&gt;='Scoring Rules'!$B$3,"强",IF(E71&gt;='Scoring Rules'!$B$4,"中","弱"))</f>
        <v/>
      </c>
      <c r="E71" s="125">
        <f>MIN(100,H71+IF(I71&gt;=5,'Scoring Rules'!$B$16,IF(I71&gt;=3,'Scoring Rules'!$B$17,IF(I71&gt;=1,'Scoring Rules'!$B$18,'Scoring Rules'!$B$19)))+IF(L71="是",'Scoring Rules'!$B$22,0)+MIN(J71*'Scoring Rules'!$B$23,'Scoring Rules'!$B$24)+IF(M71="是",'Scoring Rules'!$B$25,0)+MIN((IF(K71="",0,LEN(K71)-LEN(SUBSTITUTE(K71,";",""))+1))*'Scoring Rules'!$B$26,'Scoring Rules'!$B$27)+IF(N71="是",'Scoring Rules'!$B$28,0)+IF(O71="是",'Scoring Rules'!$B$29,0)+IF(P71="是",'Scoring Rules'!$B$30,0)+IF(Q71="是",'Scoring Rules'!$B$31,0)+IF(R71="是",'Scoring Rules'!$B$32,0)+IF(S71&gt;=8000,'Scoring Rules'!$B$35,IF(S71&gt;=4000,'Scoring Rules'!$B$36,IF(S71&gt;=2000,'Scoring Rules'!$B$37,'Scoring Rules'!$B$38))))</f>
        <v/>
      </c>
      <c r="F71" s="15" t="inlineStr">
        <is>
          <t>Standard</t>
        </is>
      </c>
      <c r="G71" s="15" t="inlineStr">
        <is>
          <t>Bachelor</t>
        </is>
      </c>
      <c r="H71" s="15" t="n">
        <v>12</v>
      </c>
      <c r="I71" s="15" t="n">
        <v>3</v>
      </c>
      <c r="J71" s="15" t="n">
        <v>7</v>
      </c>
      <c r="K71" s="15" t="str"/>
      <c r="L71" s="15" t="inlineStr">
        <is>
          <t>是</t>
        </is>
      </c>
      <c r="M71" s="15" t="inlineStr">
        <is>
          <t>是</t>
        </is>
      </c>
      <c r="N71" s="15" t="str"/>
      <c r="O71" s="15" t="str"/>
      <c r="P71" s="15" t="str"/>
      <c r="Q71" s="15" t="str"/>
      <c r="R71" s="15" t="inlineStr">
        <is>
          <t>是</t>
        </is>
      </c>
      <c r="S71" s="15" t="n">
        <v>1529</v>
      </c>
      <c r="T71" s="15" t="inlineStr">
        <is>
          <t>Backend/API; Data/Database</t>
        </is>
      </c>
      <c r="U71" s="15" t="inlineStr">
        <is>
          <t>Technology; Education/Research; Manufacturing/Automotive</t>
        </is>
      </c>
      <c r="V71" s="15" t="inlineStr">
        <is>
          <t>C:\Workspace\java\scrape_indeed\soft_dav_part_1\1642.html#21498</t>
        </is>
      </c>
    </row>
    <row r="72">
      <c r="A72" s="2">
        <f>IF(COUNTIF('Sample 20'!$B$2:$B$21,B72)&gt;0,"是","")</f>
        <v/>
      </c>
      <c r="B72" s="2" t="inlineStr">
        <is>
          <t>21157</t>
        </is>
      </c>
      <c r="C72" s="15" t="inlineStr">
        <is>
          <t>Software Developer</t>
        </is>
      </c>
      <c r="D72" s="15">
        <f>IF(E72&gt;='Scoring Rules'!$B$3,"强",IF(E72&gt;='Scoring Rules'!$B$4,"中","弱"))</f>
        <v/>
      </c>
      <c r="E72" s="125">
        <f>MIN(100,H72+IF(I72&gt;=5,'Scoring Rules'!$B$16,IF(I72&gt;=3,'Scoring Rules'!$B$17,IF(I72&gt;=1,'Scoring Rules'!$B$18,'Scoring Rules'!$B$19)))+IF(L72="是",'Scoring Rules'!$B$22,0)+MIN(J72*'Scoring Rules'!$B$23,'Scoring Rules'!$B$24)+IF(M72="是",'Scoring Rules'!$B$25,0)+MIN((IF(K72="",0,LEN(K72)-LEN(SUBSTITUTE(K72,";",""))+1))*'Scoring Rules'!$B$26,'Scoring Rules'!$B$27)+IF(N72="是",'Scoring Rules'!$B$28,0)+IF(O72="是",'Scoring Rules'!$B$29,0)+IF(P72="是",'Scoring Rules'!$B$30,0)+IF(Q72="是",'Scoring Rules'!$B$31,0)+IF(R72="是",'Scoring Rules'!$B$32,0)+IF(S72&gt;=8000,'Scoring Rules'!$B$35,IF(S72&gt;=4000,'Scoring Rules'!$B$36,IF(S72&gt;=2000,'Scoring Rules'!$B$37,'Scoring Rules'!$B$38))))</f>
        <v/>
      </c>
      <c r="F72" s="15" t="inlineStr">
        <is>
          <t>Standard</t>
        </is>
      </c>
      <c r="G72" s="15" t="inlineStr">
        <is>
          <t>Unspecified</t>
        </is>
      </c>
      <c r="H72" s="15" t="n">
        <v>2</v>
      </c>
      <c r="I72" s="15" t="n">
        <v>7</v>
      </c>
      <c r="J72" s="15" t="n">
        <v>19</v>
      </c>
      <c r="K72" s="15" t="str"/>
      <c r="L72" s="15" t="inlineStr">
        <is>
          <t>是</t>
        </is>
      </c>
      <c r="M72" s="15" t="str"/>
      <c r="N72" s="15" t="str"/>
      <c r="O72" s="15" t="str"/>
      <c r="P72" s="15" t="str"/>
      <c r="Q72" s="15" t="str"/>
      <c r="R72" s="15" t="inlineStr">
        <is>
          <t>是</t>
        </is>
      </c>
      <c r="S72" s="15" t="n">
        <v>6369</v>
      </c>
      <c r="T72" s="15" t="inlineStr">
        <is>
          <t>Frontend; Backend/API; Mobile; Data/Database; Cloud/DevOps</t>
        </is>
      </c>
      <c r="U72" s="15" t="inlineStr">
        <is>
          <t>Technology; Education/Research</t>
        </is>
      </c>
      <c r="V72" s="15" t="inlineStr">
        <is>
          <t>C:\Workspace\java\scrape_indeed\soft_dav_part_1\1643.html#21499</t>
        </is>
      </c>
    </row>
    <row r="73">
      <c r="A73" s="2">
        <f>IF(COUNTIF('Sample 20'!$B$2:$B$21,B73)&gt;0,"是","")</f>
        <v/>
      </c>
      <c r="B73" s="2" t="inlineStr">
        <is>
          <t>21160</t>
        </is>
      </c>
      <c r="C73" s="15" t="inlineStr">
        <is>
          <t>Software Developer</t>
        </is>
      </c>
      <c r="D73" s="15">
        <f>IF(E73&gt;='Scoring Rules'!$B$3,"强",IF(E73&gt;='Scoring Rules'!$B$4,"中","弱"))</f>
        <v/>
      </c>
      <c r="E73" s="125">
        <f>MIN(100,H73+IF(I73&gt;=5,'Scoring Rules'!$B$16,IF(I73&gt;=3,'Scoring Rules'!$B$17,IF(I73&gt;=1,'Scoring Rules'!$B$18,'Scoring Rules'!$B$19)))+IF(L73="是",'Scoring Rules'!$B$22,0)+MIN(J73*'Scoring Rules'!$B$23,'Scoring Rules'!$B$24)+IF(M73="是",'Scoring Rules'!$B$25,0)+MIN((IF(K73="",0,LEN(K73)-LEN(SUBSTITUTE(K73,";",""))+1))*'Scoring Rules'!$B$26,'Scoring Rules'!$B$27)+IF(N73="是",'Scoring Rules'!$B$28,0)+IF(O73="是",'Scoring Rules'!$B$29,0)+IF(P73="是",'Scoring Rules'!$B$30,0)+IF(Q73="是",'Scoring Rules'!$B$31,0)+IF(R73="是",'Scoring Rules'!$B$32,0)+IF(S73&gt;=8000,'Scoring Rules'!$B$35,IF(S73&gt;=4000,'Scoring Rules'!$B$36,IF(S73&gt;=2000,'Scoring Rules'!$B$37,'Scoring Rules'!$B$38))))</f>
        <v/>
      </c>
      <c r="F73" s="15" t="inlineStr">
        <is>
          <t>Standard</t>
        </is>
      </c>
      <c r="G73" s="15" t="inlineStr">
        <is>
          <t>Bachelor</t>
        </is>
      </c>
      <c r="H73" s="15" t="n">
        <v>12</v>
      </c>
      <c r="I73" s="15" t="n">
        <v>4</v>
      </c>
      <c r="J73" s="15" t="n">
        <v>20</v>
      </c>
      <c r="K73" s="15" t="str"/>
      <c r="L73" s="15" t="inlineStr">
        <is>
          <t>是</t>
        </is>
      </c>
      <c r="M73" s="15" t="inlineStr">
        <is>
          <t>是</t>
        </is>
      </c>
      <c r="N73" s="15" t="str"/>
      <c r="O73" s="15" t="str"/>
      <c r="P73" s="15" t="inlineStr">
        <is>
          <t>是</t>
        </is>
      </c>
      <c r="Q73" s="15" t="inlineStr">
        <is>
          <t>是</t>
        </is>
      </c>
      <c r="R73" s="15" t="str"/>
      <c r="S73" s="15" t="n">
        <v>2080</v>
      </c>
      <c r="T73" s="15" t="inlineStr">
        <is>
          <t>Frontend; Backend/API; Mobile; Data/Database; Cloud/DevOps</t>
        </is>
      </c>
      <c r="U73" s="15" t="inlineStr">
        <is>
          <t>Government/Defense; Technology; Education/Research</t>
        </is>
      </c>
      <c r="V73" s="15" t="inlineStr">
        <is>
          <t>C:\Workspace\java\scrape_indeed\soft_dav_part_1\1646.html#21502</t>
        </is>
      </c>
    </row>
    <row r="74">
      <c r="A74" s="2">
        <f>IF(COUNTIF('Sample 20'!$B$2:$B$21,B74)&gt;0,"是","")</f>
        <v/>
      </c>
      <c r="B74" s="2" t="inlineStr">
        <is>
          <t>21163</t>
        </is>
      </c>
      <c r="C74" s="15" t="inlineStr">
        <is>
          <t>Software Developer</t>
        </is>
      </c>
      <c r="D74" s="15">
        <f>IF(E74&gt;='Scoring Rules'!$B$3,"强",IF(E74&gt;='Scoring Rules'!$B$4,"中","弱"))</f>
        <v/>
      </c>
      <c r="E74" s="125">
        <f>MIN(100,H74+IF(I74&gt;=5,'Scoring Rules'!$B$16,IF(I74&gt;=3,'Scoring Rules'!$B$17,IF(I74&gt;=1,'Scoring Rules'!$B$18,'Scoring Rules'!$B$19)))+IF(L74="是",'Scoring Rules'!$B$22,0)+MIN(J74*'Scoring Rules'!$B$23,'Scoring Rules'!$B$24)+IF(M74="是",'Scoring Rules'!$B$25,0)+MIN((IF(K74="",0,LEN(K74)-LEN(SUBSTITUTE(K74,";",""))+1))*'Scoring Rules'!$B$26,'Scoring Rules'!$B$27)+IF(N74="是",'Scoring Rules'!$B$28,0)+IF(O74="是",'Scoring Rules'!$B$29,0)+IF(P74="是",'Scoring Rules'!$B$30,0)+IF(Q74="是",'Scoring Rules'!$B$31,0)+IF(R74="是",'Scoring Rules'!$B$32,0)+IF(S74&gt;=8000,'Scoring Rules'!$B$35,IF(S74&gt;=4000,'Scoring Rules'!$B$36,IF(S74&gt;=2000,'Scoring Rules'!$B$37,'Scoring Rules'!$B$38))))</f>
        <v/>
      </c>
      <c r="F74" s="15" t="inlineStr">
        <is>
          <t>Standard</t>
        </is>
      </c>
      <c r="G74" s="15" t="inlineStr">
        <is>
          <t>Unspecified</t>
        </is>
      </c>
      <c r="H74" s="15" t="n">
        <v>2</v>
      </c>
      <c r="I74" s="15" t="n">
        <v>3</v>
      </c>
      <c r="J74" s="15" t="n">
        <v>17</v>
      </c>
      <c r="K74" s="15" t="str"/>
      <c r="L74" s="15" t="inlineStr">
        <is>
          <t>是</t>
        </is>
      </c>
      <c r="M74" s="15" t="str"/>
      <c r="N74" s="15" t="str"/>
      <c r="O74" s="15" t="str"/>
      <c r="P74" s="15" t="str"/>
      <c r="Q74" s="15" t="inlineStr">
        <is>
          <t>是</t>
        </is>
      </c>
      <c r="R74" s="15" t="str"/>
      <c r="S74" s="15" t="n">
        <v>1934</v>
      </c>
      <c r="T74" s="15" t="inlineStr">
        <is>
          <t>Frontend; Backend/API; Data/Database</t>
        </is>
      </c>
      <c r="U74" s="15" t="inlineStr">
        <is>
          <t>Technology; Education/Research</t>
        </is>
      </c>
      <c r="V74" s="15" t="inlineStr">
        <is>
          <t>C:\Workspace\java\scrape_indeed\soft_dav_part_1\1649.html#21505</t>
        </is>
      </c>
    </row>
    <row r="75">
      <c r="A75" s="2">
        <f>IF(COUNTIF('Sample 20'!$B$2:$B$21,B75)&gt;0,"是","")</f>
        <v/>
      </c>
      <c r="B75" s="2" t="inlineStr">
        <is>
          <t>21165</t>
        </is>
      </c>
      <c r="C75" s="15" t="inlineStr">
        <is>
          <t>Software Developer</t>
        </is>
      </c>
      <c r="D75" s="15">
        <f>IF(E75&gt;='Scoring Rules'!$B$3,"强",IF(E75&gt;='Scoring Rules'!$B$4,"中","弱"))</f>
        <v/>
      </c>
      <c r="E75" s="125">
        <f>MIN(100,H75+IF(I75&gt;=5,'Scoring Rules'!$B$16,IF(I75&gt;=3,'Scoring Rules'!$B$17,IF(I75&gt;=1,'Scoring Rules'!$B$18,'Scoring Rules'!$B$19)))+IF(L75="是",'Scoring Rules'!$B$22,0)+MIN(J75*'Scoring Rules'!$B$23,'Scoring Rules'!$B$24)+IF(M75="是",'Scoring Rules'!$B$25,0)+MIN((IF(K75="",0,LEN(K75)-LEN(SUBSTITUTE(K75,";",""))+1))*'Scoring Rules'!$B$26,'Scoring Rules'!$B$27)+IF(N75="是",'Scoring Rules'!$B$28,0)+IF(O75="是",'Scoring Rules'!$B$29,0)+IF(P75="是",'Scoring Rules'!$B$30,0)+IF(Q75="是",'Scoring Rules'!$B$31,0)+IF(R75="是",'Scoring Rules'!$B$32,0)+IF(S75&gt;=8000,'Scoring Rules'!$B$35,IF(S75&gt;=4000,'Scoring Rules'!$B$36,IF(S75&gt;=2000,'Scoring Rules'!$B$37,'Scoring Rules'!$B$38))))</f>
        <v/>
      </c>
      <c r="F75" s="15" t="inlineStr">
        <is>
          <t>Standard</t>
        </is>
      </c>
      <c r="G75" s="15" t="inlineStr">
        <is>
          <t>High School</t>
        </is>
      </c>
      <c r="H75" s="15" t="n">
        <v>5</v>
      </c>
      <c r="I75" s="15" t="n">
        <v>3</v>
      </c>
      <c r="J75" s="15" t="n">
        <v>26</v>
      </c>
      <c r="K75" s="15" t="str"/>
      <c r="L75" s="15" t="inlineStr">
        <is>
          <t>是</t>
        </is>
      </c>
      <c r="M75" s="15" t="str"/>
      <c r="N75" s="15" t="str"/>
      <c r="O75" s="15" t="str"/>
      <c r="P75" s="15" t="inlineStr">
        <is>
          <t>是</t>
        </is>
      </c>
      <c r="Q75" s="15" t="inlineStr">
        <is>
          <t>是</t>
        </is>
      </c>
      <c r="R75" s="15" t="inlineStr">
        <is>
          <t>是</t>
        </is>
      </c>
      <c r="S75" s="15" t="n">
        <v>2412</v>
      </c>
      <c r="T75" s="15" t="inlineStr">
        <is>
          <t>Frontend; Backend/API; Mobile; Data/Database; Cloud/DevOps</t>
        </is>
      </c>
      <c r="U75" s="15" t="inlineStr">
        <is>
          <t>Technology</t>
        </is>
      </c>
      <c r="V75" s="15" t="inlineStr">
        <is>
          <t>C:\Workspace\java\scrape_indeed\soft_dav_part_1\1650.html#21507</t>
        </is>
      </c>
    </row>
    <row r="76">
      <c r="A76" s="2">
        <f>IF(COUNTIF('Sample 20'!$B$2:$B$21,B76)&gt;0,"是","")</f>
        <v/>
      </c>
      <c r="B76" s="2" t="inlineStr">
        <is>
          <t>21169</t>
        </is>
      </c>
      <c r="C76" s="15" t="inlineStr">
        <is>
          <t>Software Developer</t>
        </is>
      </c>
      <c r="D76" s="15">
        <f>IF(E76&gt;='Scoring Rules'!$B$3,"强",IF(E76&gt;='Scoring Rules'!$B$4,"中","弱"))</f>
        <v/>
      </c>
      <c r="E76" s="125">
        <f>MIN(100,H76+IF(I76&gt;=5,'Scoring Rules'!$B$16,IF(I76&gt;=3,'Scoring Rules'!$B$17,IF(I76&gt;=1,'Scoring Rules'!$B$18,'Scoring Rules'!$B$19)))+IF(L76="是",'Scoring Rules'!$B$22,0)+MIN(J76*'Scoring Rules'!$B$23,'Scoring Rules'!$B$24)+IF(M76="是",'Scoring Rules'!$B$25,0)+MIN((IF(K76="",0,LEN(K76)-LEN(SUBSTITUTE(K76,";",""))+1))*'Scoring Rules'!$B$26,'Scoring Rules'!$B$27)+IF(N76="是",'Scoring Rules'!$B$28,0)+IF(O76="是",'Scoring Rules'!$B$29,0)+IF(P76="是",'Scoring Rules'!$B$30,0)+IF(Q76="是",'Scoring Rules'!$B$31,0)+IF(R76="是",'Scoring Rules'!$B$32,0)+IF(S76&gt;=8000,'Scoring Rules'!$B$35,IF(S76&gt;=4000,'Scoring Rules'!$B$36,IF(S76&gt;=2000,'Scoring Rules'!$B$37,'Scoring Rules'!$B$38))))</f>
        <v/>
      </c>
      <c r="F76" s="15" t="inlineStr">
        <is>
          <t>Standard</t>
        </is>
      </c>
      <c r="G76" s="15" t="inlineStr">
        <is>
          <t>Master</t>
        </is>
      </c>
      <c r="H76" s="15" t="n">
        <v>16</v>
      </c>
      <c r="I76" s="15" t="n">
        <v>2</v>
      </c>
      <c r="J76" s="15" t="n">
        <v>16</v>
      </c>
      <c r="K76" s="15" t="str"/>
      <c r="L76" s="15" t="inlineStr">
        <is>
          <t>是</t>
        </is>
      </c>
      <c r="M76" s="15" t="str"/>
      <c r="N76" s="15" t="str"/>
      <c r="O76" s="15" t="str"/>
      <c r="P76" s="15" t="str"/>
      <c r="Q76" s="15" t="str"/>
      <c r="R76" s="15" t="str"/>
      <c r="S76" s="15" t="n">
        <v>1914</v>
      </c>
      <c r="T76" s="15" t="inlineStr">
        <is>
          <t>Frontend; Backend/API; Data/Database; Cloud/DevOps</t>
        </is>
      </c>
      <c r="U76" s="15" t="inlineStr">
        <is>
          <t>Technology; Education/Research</t>
        </is>
      </c>
      <c r="V76" s="15" t="inlineStr">
        <is>
          <t>C:\Workspace\java\scrape_indeed\soft_dav_part_1\1654.html#21511</t>
        </is>
      </c>
    </row>
    <row r="77">
      <c r="A77" s="2">
        <f>IF(COUNTIF('Sample 20'!$B$2:$B$21,B77)&gt;0,"是","")</f>
        <v/>
      </c>
      <c r="B77" s="2" t="inlineStr">
        <is>
          <t>21170</t>
        </is>
      </c>
      <c r="C77" s="15" t="inlineStr">
        <is>
          <t>Software Developer</t>
        </is>
      </c>
      <c r="D77" s="15">
        <f>IF(E77&gt;='Scoring Rules'!$B$3,"强",IF(E77&gt;='Scoring Rules'!$B$4,"中","弱"))</f>
        <v/>
      </c>
      <c r="E77" s="125">
        <f>MIN(100,H77+IF(I77&gt;=5,'Scoring Rules'!$B$16,IF(I77&gt;=3,'Scoring Rules'!$B$17,IF(I77&gt;=1,'Scoring Rules'!$B$18,'Scoring Rules'!$B$19)))+IF(L77="是",'Scoring Rules'!$B$22,0)+MIN(J77*'Scoring Rules'!$B$23,'Scoring Rules'!$B$24)+IF(M77="是",'Scoring Rules'!$B$25,0)+MIN((IF(K77="",0,LEN(K77)-LEN(SUBSTITUTE(K77,";",""))+1))*'Scoring Rules'!$B$26,'Scoring Rules'!$B$27)+IF(N77="是",'Scoring Rules'!$B$28,0)+IF(O77="是",'Scoring Rules'!$B$29,0)+IF(P77="是",'Scoring Rules'!$B$30,0)+IF(Q77="是",'Scoring Rules'!$B$31,0)+IF(R77="是",'Scoring Rules'!$B$32,0)+IF(S77&gt;=8000,'Scoring Rules'!$B$35,IF(S77&gt;=4000,'Scoring Rules'!$B$36,IF(S77&gt;=2000,'Scoring Rules'!$B$37,'Scoring Rules'!$B$38))))</f>
        <v/>
      </c>
      <c r="F77" s="15" t="inlineStr">
        <is>
          <t>Standard</t>
        </is>
      </c>
      <c r="G77" s="15" t="inlineStr">
        <is>
          <t>Unspecified</t>
        </is>
      </c>
      <c r="H77" s="15" t="n">
        <v>0</v>
      </c>
      <c r="I77" s="15" t="n">
        <v>3</v>
      </c>
      <c r="J77" s="15" t="n">
        <v>11</v>
      </c>
      <c r="K77" s="15" t="str"/>
      <c r="L77" s="15" t="str"/>
      <c r="M77" s="15" t="str"/>
      <c r="N77" s="15" t="str"/>
      <c r="O77" s="15" t="inlineStr">
        <is>
          <t>是</t>
        </is>
      </c>
      <c r="P77" s="15" t="str"/>
      <c r="Q77" s="15" t="str"/>
      <c r="R77" s="15" t="inlineStr">
        <is>
          <t>是</t>
        </is>
      </c>
      <c r="S77" s="15" t="n">
        <v>7263</v>
      </c>
      <c r="T77" s="15" t="inlineStr">
        <is>
          <t>Frontend; Backend/API; Data/Database</t>
        </is>
      </c>
      <c r="U77" s="15" t="inlineStr">
        <is>
          <t>Technology</t>
        </is>
      </c>
      <c r="V77" s="15" t="inlineStr">
        <is>
          <t>C:\Workspace\java\scrape_indeed\soft_dav_part_1\1655.html#21512</t>
        </is>
      </c>
    </row>
    <row r="78">
      <c r="A78" s="2">
        <f>IF(COUNTIF('Sample 20'!$B$2:$B$21,B78)&gt;0,"是","")</f>
        <v/>
      </c>
      <c r="B78" s="2" t="inlineStr">
        <is>
          <t>21171</t>
        </is>
      </c>
      <c r="C78" s="15" t="inlineStr">
        <is>
          <t>Software Developer</t>
        </is>
      </c>
      <c r="D78" s="15">
        <f>IF(E78&gt;='Scoring Rules'!$B$3,"强",IF(E78&gt;='Scoring Rules'!$B$4,"中","弱"))</f>
        <v/>
      </c>
      <c r="E78" s="125">
        <f>MIN(100,H78+IF(I78&gt;=5,'Scoring Rules'!$B$16,IF(I78&gt;=3,'Scoring Rules'!$B$17,IF(I78&gt;=1,'Scoring Rules'!$B$18,'Scoring Rules'!$B$19)))+IF(L78="是",'Scoring Rules'!$B$22,0)+MIN(J78*'Scoring Rules'!$B$23,'Scoring Rules'!$B$24)+IF(M78="是",'Scoring Rules'!$B$25,0)+MIN((IF(K78="",0,LEN(K78)-LEN(SUBSTITUTE(K78,";",""))+1))*'Scoring Rules'!$B$26,'Scoring Rules'!$B$27)+IF(N78="是",'Scoring Rules'!$B$28,0)+IF(O78="是",'Scoring Rules'!$B$29,0)+IF(P78="是",'Scoring Rules'!$B$30,0)+IF(Q78="是",'Scoring Rules'!$B$31,0)+IF(R78="是",'Scoring Rules'!$B$32,0)+IF(S78&gt;=8000,'Scoring Rules'!$B$35,IF(S78&gt;=4000,'Scoring Rules'!$B$36,IF(S78&gt;=2000,'Scoring Rules'!$B$37,'Scoring Rules'!$B$38))))</f>
        <v/>
      </c>
      <c r="F78" s="15" t="inlineStr">
        <is>
          <t>Standard</t>
        </is>
      </c>
      <c r="G78" s="15" t="inlineStr">
        <is>
          <t>Master</t>
        </is>
      </c>
      <c r="H78" s="15" t="n">
        <v>16</v>
      </c>
      <c r="I78" s="15" t="n">
        <v>4</v>
      </c>
      <c r="J78" s="15" t="n">
        <v>17</v>
      </c>
      <c r="K78" s="15" t="str"/>
      <c r="L78" s="15" t="inlineStr">
        <is>
          <t>是</t>
        </is>
      </c>
      <c r="M78" s="15" t="str"/>
      <c r="N78" s="15" t="str"/>
      <c r="O78" s="15" t="str"/>
      <c r="P78" s="15" t="str"/>
      <c r="Q78" s="15" t="inlineStr">
        <is>
          <t>是</t>
        </is>
      </c>
      <c r="R78" s="15" t="inlineStr">
        <is>
          <t>是</t>
        </is>
      </c>
      <c r="S78" s="15" t="n">
        <v>7137</v>
      </c>
      <c r="T78" s="15" t="inlineStr">
        <is>
          <t>Frontend; Backend/API; Data/Database; Testing/Automation</t>
        </is>
      </c>
      <c r="U78" s="15" t="inlineStr">
        <is>
          <t>Healthcare; Technology; Education/Research</t>
        </is>
      </c>
      <c r="V78" s="15" t="inlineStr">
        <is>
          <t>C:\Workspace\java\scrape_indeed\soft_dav_part_1\1656.html#21513</t>
        </is>
      </c>
    </row>
    <row r="79">
      <c r="A79" s="2">
        <f>IF(COUNTIF('Sample 20'!$B$2:$B$21,B79)&gt;0,"是","")</f>
        <v/>
      </c>
      <c r="B79" s="2" t="inlineStr">
        <is>
          <t>21190</t>
        </is>
      </c>
      <c r="C79" s="15" t="inlineStr">
        <is>
          <t>Software Developer</t>
        </is>
      </c>
      <c r="D79" s="15">
        <f>IF(E79&gt;='Scoring Rules'!$B$3,"强",IF(E79&gt;='Scoring Rules'!$B$4,"中","弱"))</f>
        <v/>
      </c>
      <c r="E79" s="125">
        <f>MIN(100,H79+IF(I79&gt;=5,'Scoring Rules'!$B$16,IF(I79&gt;=3,'Scoring Rules'!$B$17,IF(I79&gt;=1,'Scoring Rules'!$B$18,'Scoring Rules'!$B$19)))+IF(L79="是",'Scoring Rules'!$B$22,0)+MIN(J79*'Scoring Rules'!$B$23,'Scoring Rules'!$B$24)+IF(M79="是",'Scoring Rules'!$B$25,0)+MIN((IF(K79="",0,LEN(K79)-LEN(SUBSTITUTE(K79,";",""))+1))*'Scoring Rules'!$B$26,'Scoring Rules'!$B$27)+IF(N79="是",'Scoring Rules'!$B$28,0)+IF(O79="是",'Scoring Rules'!$B$29,0)+IF(P79="是",'Scoring Rules'!$B$30,0)+IF(Q79="是",'Scoring Rules'!$B$31,0)+IF(R79="是",'Scoring Rules'!$B$32,0)+IF(S79&gt;=8000,'Scoring Rules'!$B$35,IF(S79&gt;=4000,'Scoring Rules'!$B$36,IF(S79&gt;=2000,'Scoring Rules'!$B$37,'Scoring Rules'!$B$38))))</f>
        <v/>
      </c>
      <c r="F79" s="15" t="inlineStr">
        <is>
          <t>Standard</t>
        </is>
      </c>
      <c r="G79" s="15" t="inlineStr">
        <is>
          <t>Master</t>
        </is>
      </c>
      <c r="H79" s="15" t="n">
        <v>16</v>
      </c>
      <c r="I79" s="15" t="n">
        <v>2</v>
      </c>
      <c r="J79" s="15" t="n">
        <v>14</v>
      </c>
      <c r="K79" s="15" t="str"/>
      <c r="L79" s="15" t="inlineStr">
        <is>
          <t>是</t>
        </is>
      </c>
      <c r="M79" s="15" t="str"/>
      <c r="N79" s="15" t="inlineStr">
        <is>
          <t>是</t>
        </is>
      </c>
      <c r="O79" s="15" t="str"/>
      <c r="P79" s="15" t="inlineStr">
        <is>
          <t>是</t>
        </is>
      </c>
      <c r="Q79" s="15" t="str"/>
      <c r="R79" s="15" t="inlineStr">
        <is>
          <t>是</t>
        </is>
      </c>
      <c r="S79" s="15" t="n">
        <v>3144</v>
      </c>
      <c r="T79" s="15" t="inlineStr">
        <is>
          <t>Frontend; Backend/API; Mobile; Data/Database</t>
        </is>
      </c>
      <c r="U79" s="15" t="inlineStr">
        <is>
          <t>Healthcare; Technology; Education/Research; Manufacturing/Automotive</t>
        </is>
      </c>
      <c r="V79" s="15" t="inlineStr">
        <is>
          <t>C:\Workspace\java\scrape_indeed\soft_dav_part_1\1673.html#21532</t>
        </is>
      </c>
    </row>
    <row r="80">
      <c r="A80" s="2">
        <f>IF(COUNTIF('Sample 20'!$B$2:$B$21,B80)&gt;0,"是","")</f>
        <v/>
      </c>
      <c r="B80" s="2" t="inlineStr">
        <is>
          <t>21192</t>
        </is>
      </c>
      <c r="C80" s="15" t="inlineStr">
        <is>
          <t>Software Developer</t>
        </is>
      </c>
      <c r="D80" s="15">
        <f>IF(E80&gt;='Scoring Rules'!$B$3,"强",IF(E80&gt;='Scoring Rules'!$B$4,"中","弱"))</f>
        <v/>
      </c>
      <c r="E80" s="125">
        <f>MIN(100,H80+IF(I80&gt;=5,'Scoring Rules'!$B$16,IF(I80&gt;=3,'Scoring Rules'!$B$17,IF(I80&gt;=1,'Scoring Rules'!$B$18,'Scoring Rules'!$B$19)))+IF(L80="是",'Scoring Rules'!$B$22,0)+MIN(J80*'Scoring Rules'!$B$23,'Scoring Rules'!$B$24)+IF(M80="是",'Scoring Rules'!$B$25,0)+MIN((IF(K80="",0,LEN(K80)-LEN(SUBSTITUTE(K80,";",""))+1))*'Scoring Rules'!$B$26,'Scoring Rules'!$B$27)+IF(N80="是",'Scoring Rules'!$B$28,0)+IF(O80="是",'Scoring Rules'!$B$29,0)+IF(P80="是",'Scoring Rules'!$B$30,0)+IF(Q80="是",'Scoring Rules'!$B$31,0)+IF(R80="是",'Scoring Rules'!$B$32,0)+IF(S80&gt;=8000,'Scoring Rules'!$B$35,IF(S80&gt;=4000,'Scoring Rules'!$B$36,IF(S80&gt;=2000,'Scoring Rules'!$B$37,'Scoring Rules'!$B$38))))</f>
        <v/>
      </c>
      <c r="F80" s="15" t="inlineStr">
        <is>
          <t>Standard</t>
        </is>
      </c>
      <c r="G80" s="15" t="inlineStr">
        <is>
          <t>High School</t>
        </is>
      </c>
      <c r="H80" s="15" t="n">
        <v>5</v>
      </c>
      <c r="I80" s="15" t="n">
        <v>4</v>
      </c>
      <c r="J80" s="15" t="n">
        <v>16</v>
      </c>
      <c r="K80" s="15" t="str"/>
      <c r="L80" s="15" t="inlineStr">
        <is>
          <t>是</t>
        </is>
      </c>
      <c r="M80" s="15" t="str"/>
      <c r="N80" s="15" t="str"/>
      <c r="O80" s="15" t="str"/>
      <c r="P80" s="15" t="inlineStr">
        <is>
          <t>是</t>
        </is>
      </c>
      <c r="Q80" s="15" t="inlineStr">
        <is>
          <t>是</t>
        </is>
      </c>
      <c r="R80" s="15" t="inlineStr">
        <is>
          <t>是</t>
        </is>
      </c>
      <c r="S80" s="15" t="n">
        <v>2218</v>
      </c>
      <c r="T80" s="15" t="inlineStr">
        <is>
          <t>Frontend; Backend/API; Mobile; Data/Database; Embedded/Systems</t>
        </is>
      </c>
      <c r="U80" s="15" t="inlineStr">
        <is>
          <t>Technology</t>
        </is>
      </c>
      <c r="V80" s="15" t="inlineStr">
        <is>
          <t>C:\Workspace\java\scrape_indeed\soft_dav_part_1\1675.html#21534</t>
        </is>
      </c>
    </row>
    <row r="81">
      <c r="A81" s="2">
        <f>IF(COUNTIF('Sample 20'!$B$2:$B$21,B81)&gt;0,"是","")</f>
        <v/>
      </c>
      <c r="B81" s="2" t="inlineStr">
        <is>
          <t>21196</t>
        </is>
      </c>
      <c r="C81" s="15" t="inlineStr">
        <is>
          <t>Software Developer</t>
        </is>
      </c>
      <c r="D81" s="15">
        <f>IF(E81&gt;='Scoring Rules'!$B$3,"强",IF(E81&gt;='Scoring Rules'!$B$4,"中","弱"))</f>
        <v/>
      </c>
      <c r="E81" s="125">
        <f>MIN(100,H81+IF(I81&gt;=5,'Scoring Rules'!$B$16,IF(I81&gt;=3,'Scoring Rules'!$B$17,IF(I81&gt;=1,'Scoring Rules'!$B$18,'Scoring Rules'!$B$19)))+IF(L81="是",'Scoring Rules'!$B$22,0)+MIN(J81*'Scoring Rules'!$B$23,'Scoring Rules'!$B$24)+IF(M81="是",'Scoring Rules'!$B$25,0)+MIN((IF(K81="",0,LEN(K81)-LEN(SUBSTITUTE(K81,";",""))+1))*'Scoring Rules'!$B$26,'Scoring Rules'!$B$27)+IF(N81="是",'Scoring Rules'!$B$28,0)+IF(O81="是",'Scoring Rules'!$B$29,0)+IF(P81="是",'Scoring Rules'!$B$30,0)+IF(Q81="是",'Scoring Rules'!$B$31,0)+IF(R81="是",'Scoring Rules'!$B$32,0)+IF(S81&gt;=8000,'Scoring Rules'!$B$35,IF(S81&gt;=4000,'Scoring Rules'!$B$36,IF(S81&gt;=2000,'Scoring Rules'!$B$37,'Scoring Rules'!$B$38))))</f>
        <v/>
      </c>
      <c r="F81" s="15" t="inlineStr">
        <is>
          <t>Standard</t>
        </is>
      </c>
      <c r="G81" s="15" t="inlineStr">
        <is>
          <t>Bachelor</t>
        </is>
      </c>
      <c r="H81" s="15" t="n">
        <v>12</v>
      </c>
      <c r="I81" s="15" t="n">
        <v>2</v>
      </c>
      <c r="J81" s="15" t="n">
        <v>10</v>
      </c>
      <c r="K81" s="15" t="str"/>
      <c r="L81" s="15" t="inlineStr">
        <is>
          <t>是</t>
        </is>
      </c>
      <c r="M81" s="15" t="str"/>
      <c r="N81" s="15" t="str"/>
      <c r="O81" s="15" t="str"/>
      <c r="P81" s="15" t="inlineStr">
        <is>
          <t>是</t>
        </is>
      </c>
      <c r="Q81" s="15" t="inlineStr">
        <is>
          <t>是</t>
        </is>
      </c>
      <c r="R81" s="15" t="inlineStr">
        <is>
          <t>是</t>
        </is>
      </c>
      <c r="S81" s="15" t="n">
        <v>1723</v>
      </c>
      <c r="T81" s="15" t="inlineStr">
        <is>
          <t>Frontend; Backend/API; Data/Database</t>
        </is>
      </c>
      <c r="U81" s="15" t="inlineStr">
        <is>
          <t>Technology; Education/Research</t>
        </is>
      </c>
      <c r="V81" s="15" t="inlineStr">
        <is>
          <t>C:\Workspace\java\scrape_indeed\soft_dav_part_1\1679.html#21538</t>
        </is>
      </c>
    </row>
    <row r="82">
      <c r="A82" s="2">
        <f>IF(COUNTIF('Sample 20'!$B$2:$B$21,B82)&gt;0,"是","")</f>
        <v/>
      </c>
      <c r="B82" s="2" t="inlineStr">
        <is>
          <t>21203</t>
        </is>
      </c>
      <c r="C82" s="15" t="inlineStr">
        <is>
          <t>Software Developer</t>
        </is>
      </c>
      <c r="D82" s="15">
        <f>IF(E82&gt;='Scoring Rules'!$B$3,"强",IF(E82&gt;='Scoring Rules'!$B$4,"中","弱"))</f>
        <v/>
      </c>
      <c r="E82" s="125">
        <f>MIN(100,H82+IF(I82&gt;=5,'Scoring Rules'!$B$16,IF(I82&gt;=3,'Scoring Rules'!$B$17,IF(I82&gt;=1,'Scoring Rules'!$B$18,'Scoring Rules'!$B$19)))+IF(L82="是",'Scoring Rules'!$B$22,0)+MIN(J82*'Scoring Rules'!$B$23,'Scoring Rules'!$B$24)+IF(M82="是",'Scoring Rules'!$B$25,0)+MIN((IF(K82="",0,LEN(K82)-LEN(SUBSTITUTE(K82,";",""))+1))*'Scoring Rules'!$B$26,'Scoring Rules'!$B$27)+IF(N82="是",'Scoring Rules'!$B$28,0)+IF(O82="是",'Scoring Rules'!$B$29,0)+IF(P82="是",'Scoring Rules'!$B$30,0)+IF(Q82="是",'Scoring Rules'!$B$31,0)+IF(R82="是",'Scoring Rules'!$B$32,0)+IF(S82&gt;=8000,'Scoring Rules'!$B$35,IF(S82&gt;=4000,'Scoring Rules'!$B$36,IF(S82&gt;=2000,'Scoring Rules'!$B$37,'Scoring Rules'!$B$38))))</f>
        <v/>
      </c>
      <c r="F82" s="15" t="inlineStr">
        <is>
          <t>Standard</t>
        </is>
      </c>
      <c r="G82" s="15" t="inlineStr">
        <is>
          <t>Unspecified</t>
        </is>
      </c>
      <c r="H82" s="15" t="n">
        <v>2</v>
      </c>
      <c r="I82" s="15" t="n">
        <v>2</v>
      </c>
      <c r="J82" s="15" t="n">
        <v>17</v>
      </c>
      <c r="K82" s="15" t="str"/>
      <c r="L82" s="15" t="inlineStr">
        <is>
          <t>是</t>
        </is>
      </c>
      <c r="M82" s="15" t="str"/>
      <c r="N82" s="15" t="str"/>
      <c r="O82" s="15" t="str"/>
      <c r="P82" s="15" t="str"/>
      <c r="Q82" s="15" t="str"/>
      <c r="R82" s="15" t="inlineStr">
        <is>
          <t>是</t>
        </is>
      </c>
      <c r="S82" s="15" t="n">
        <v>3212</v>
      </c>
      <c r="T82" s="15" t="inlineStr">
        <is>
          <t>Frontend; Backend/API; Data/Database; Cloud/DevOps; Testing/Automation</t>
        </is>
      </c>
      <c r="U82" s="15" t="inlineStr">
        <is>
          <t>Finance/Banking; Technology; Education/Research</t>
        </is>
      </c>
      <c r="V82" s="15" t="inlineStr">
        <is>
          <t>C:\Workspace\java\scrape_indeed\soft_dav_part_1\1685.html#21545</t>
        </is>
      </c>
    </row>
    <row r="83">
      <c r="A83" s="2">
        <f>IF(COUNTIF('Sample 20'!$B$2:$B$21,B83)&gt;0,"是","")</f>
        <v/>
      </c>
      <c r="B83" s="2" t="inlineStr">
        <is>
          <t>21208</t>
        </is>
      </c>
      <c r="C83" s="15" t="inlineStr">
        <is>
          <t>Software Developer</t>
        </is>
      </c>
      <c r="D83" s="15">
        <f>IF(E83&gt;='Scoring Rules'!$B$3,"强",IF(E83&gt;='Scoring Rules'!$B$4,"中","弱"))</f>
        <v/>
      </c>
      <c r="E83" s="125">
        <f>MIN(100,H83+IF(I83&gt;=5,'Scoring Rules'!$B$16,IF(I83&gt;=3,'Scoring Rules'!$B$17,IF(I83&gt;=1,'Scoring Rules'!$B$18,'Scoring Rules'!$B$19)))+IF(L83="是",'Scoring Rules'!$B$22,0)+MIN(J83*'Scoring Rules'!$B$23,'Scoring Rules'!$B$24)+IF(M83="是",'Scoring Rules'!$B$25,0)+MIN((IF(K83="",0,LEN(K83)-LEN(SUBSTITUTE(K83,";",""))+1))*'Scoring Rules'!$B$26,'Scoring Rules'!$B$27)+IF(N83="是",'Scoring Rules'!$B$28,0)+IF(O83="是",'Scoring Rules'!$B$29,0)+IF(P83="是",'Scoring Rules'!$B$30,0)+IF(Q83="是",'Scoring Rules'!$B$31,0)+IF(R83="是",'Scoring Rules'!$B$32,0)+IF(S83&gt;=8000,'Scoring Rules'!$B$35,IF(S83&gt;=4000,'Scoring Rules'!$B$36,IF(S83&gt;=2000,'Scoring Rules'!$B$37,'Scoring Rules'!$B$38))))</f>
        <v/>
      </c>
      <c r="F83" s="15" t="inlineStr">
        <is>
          <t>Standard</t>
        </is>
      </c>
      <c r="G83" s="15" t="inlineStr">
        <is>
          <t>Unspecified</t>
        </is>
      </c>
      <c r="H83" s="15" t="n">
        <v>0</v>
      </c>
      <c r="I83" s="15" t="n">
        <v>2</v>
      </c>
      <c r="J83" s="15" t="n">
        <v>12</v>
      </c>
      <c r="K83" s="15" t="str"/>
      <c r="L83" s="15" t="str"/>
      <c r="M83" s="15" t="str"/>
      <c r="N83" s="15" t="str"/>
      <c r="O83" s="15" t="str"/>
      <c r="P83" s="15" t="str"/>
      <c r="Q83" s="15" t="str"/>
      <c r="R83" s="15" t="inlineStr">
        <is>
          <t>是</t>
        </is>
      </c>
      <c r="S83" s="15" t="n">
        <v>2913</v>
      </c>
      <c r="T83" s="15" t="inlineStr">
        <is>
          <t>Frontend; Backend/API; Data/Database; Cloud/DevOps</t>
        </is>
      </c>
      <c r="U83" s="15" t="inlineStr">
        <is>
          <t>Technology; Education/Research</t>
        </is>
      </c>
      <c r="V83" s="15" t="inlineStr">
        <is>
          <t>C:\Workspace\java\scrape_indeed\soft_dav_part_1\169.html#21550</t>
        </is>
      </c>
    </row>
    <row r="84">
      <c r="A84" s="2">
        <f>IF(COUNTIF('Sample 20'!$B$2:$B$21,B84)&gt;0,"是","")</f>
        <v/>
      </c>
      <c r="B84" s="2" t="inlineStr">
        <is>
          <t>21218</t>
        </is>
      </c>
      <c r="C84" s="15" t="inlineStr">
        <is>
          <t>Software Developer</t>
        </is>
      </c>
      <c r="D84" s="15">
        <f>IF(E84&gt;='Scoring Rules'!$B$3,"强",IF(E84&gt;='Scoring Rules'!$B$4,"中","弱"))</f>
        <v/>
      </c>
      <c r="E84" s="125">
        <f>MIN(100,H84+IF(I84&gt;=5,'Scoring Rules'!$B$16,IF(I84&gt;=3,'Scoring Rules'!$B$17,IF(I84&gt;=1,'Scoring Rules'!$B$18,'Scoring Rules'!$B$19)))+IF(L84="是",'Scoring Rules'!$B$22,0)+MIN(J84*'Scoring Rules'!$B$23,'Scoring Rules'!$B$24)+IF(M84="是",'Scoring Rules'!$B$25,0)+MIN((IF(K84="",0,LEN(K84)-LEN(SUBSTITUTE(K84,";",""))+1))*'Scoring Rules'!$B$26,'Scoring Rules'!$B$27)+IF(N84="是",'Scoring Rules'!$B$28,0)+IF(O84="是",'Scoring Rules'!$B$29,0)+IF(P84="是",'Scoring Rules'!$B$30,0)+IF(Q84="是",'Scoring Rules'!$B$31,0)+IF(R84="是",'Scoring Rules'!$B$32,0)+IF(S84&gt;=8000,'Scoring Rules'!$B$35,IF(S84&gt;=4000,'Scoring Rules'!$B$36,IF(S84&gt;=2000,'Scoring Rules'!$B$37,'Scoring Rules'!$B$38))))</f>
        <v/>
      </c>
      <c r="F84" s="15" t="inlineStr">
        <is>
          <t>Standard</t>
        </is>
      </c>
      <c r="G84" s="15" t="inlineStr">
        <is>
          <t>Unspecified</t>
        </is>
      </c>
      <c r="H84" s="15" t="n">
        <v>2</v>
      </c>
      <c r="I84" s="15" t="n">
        <v>1</v>
      </c>
      <c r="J84" s="15" t="n">
        <v>13</v>
      </c>
      <c r="K84" s="15" t="str"/>
      <c r="L84" s="15" t="str"/>
      <c r="M84" s="15" t="str"/>
      <c r="N84" s="15" t="str"/>
      <c r="O84" s="15" t="str"/>
      <c r="P84" s="15" t="str"/>
      <c r="Q84" s="15" t="inlineStr">
        <is>
          <t>是</t>
        </is>
      </c>
      <c r="R84" s="15" t="str"/>
      <c r="S84" s="15" t="n">
        <v>1687</v>
      </c>
      <c r="T84" s="15" t="inlineStr">
        <is>
          <t>Frontend; Backend/API; Data/Database</t>
        </is>
      </c>
      <c r="U84" s="15" t="inlineStr">
        <is>
          <t>Government/Defense; Technology; Education/Research</t>
        </is>
      </c>
      <c r="V84" s="15" t="inlineStr">
        <is>
          <t>C:\Workspace\java\scrape_indeed\soft_dav_part_1\17.html#21561</t>
        </is>
      </c>
    </row>
    <row r="85">
      <c r="A85" s="2">
        <f>IF(COUNTIF('Sample 20'!$B$2:$B$21,B85)&gt;0,"是","")</f>
        <v/>
      </c>
      <c r="B85" s="2" t="inlineStr">
        <is>
          <t>21248</t>
        </is>
      </c>
      <c r="C85" s="15" t="inlineStr">
        <is>
          <t>Software Developer</t>
        </is>
      </c>
      <c r="D85" s="15">
        <f>IF(E85&gt;='Scoring Rules'!$B$3,"强",IF(E85&gt;='Scoring Rules'!$B$4,"中","弱"))</f>
        <v/>
      </c>
      <c r="E85" s="125">
        <f>MIN(100,H85+IF(I85&gt;=5,'Scoring Rules'!$B$16,IF(I85&gt;=3,'Scoring Rules'!$B$17,IF(I85&gt;=1,'Scoring Rules'!$B$18,'Scoring Rules'!$B$19)))+IF(L85="是",'Scoring Rules'!$B$22,0)+MIN(J85*'Scoring Rules'!$B$23,'Scoring Rules'!$B$24)+IF(M85="是",'Scoring Rules'!$B$25,0)+MIN((IF(K85="",0,LEN(K85)-LEN(SUBSTITUTE(K85,";",""))+1))*'Scoring Rules'!$B$26,'Scoring Rules'!$B$27)+IF(N85="是",'Scoring Rules'!$B$28,0)+IF(O85="是",'Scoring Rules'!$B$29,0)+IF(P85="是",'Scoring Rules'!$B$30,0)+IF(Q85="是",'Scoring Rules'!$B$31,0)+IF(R85="是",'Scoring Rules'!$B$32,0)+IF(S85&gt;=8000,'Scoring Rules'!$B$35,IF(S85&gt;=4000,'Scoring Rules'!$B$36,IF(S85&gt;=2000,'Scoring Rules'!$B$37,'Scoring Rules'!$B$38))))</f>
        <v/>
      </c>
      <c r="F85" s="15" t="inlineStr">
        <is>
          <t>Standard</t>
        </is>
      </c>
      <c r="G85" s="15" t="inlineStr">
        <is>
          <t>Bachelor</t>
        </is>
      </c>
      <c r="H85" s="15" t="n">
        <v>12</v>
      </c>
      <c r="I85" s="15" t="n">
        <v>5</v>
      </c>
      <c r="J85" s="15" t="n">
        <v>9</v>
      </c>
      <c r="K85" s="15" t="str"/>
      <c r="L85" s="15" t="inlineStr">
        <is>
          <t>是</t>
        </is>
      </c>
      <c r="M85" s="15" t="str"/>
      <c r="N85" s="15" t="str"/>
      <c r="O85" s="15" t="str"/>
      <c r="P85" s="15" t="str"/>
      <c r="Q85" s="15" t="str"/>
      <c r="R85" s="15" t="inlineStr">
        <is>
          <t>是</t>
        </is>
      </c>
      <c r="S85" s="15" t="n">
        <v>1646</v>
      </c>
      <c r="T85" s="15" t="inlineStr">
        <is>
          <t>Backend/API; Mobile; Cloud/DevOps</t>
        </is>
      </c>
      <c r="U85" s="15" t="inlineStr">
        <is>
          <t>Finance/Banking; Technology; Education/Research</t>
        </is>
      </c>
      <c r="V85" s="15" t="inlineStr">
        <is>
          <t>C:\Workspace\java\scrape_indeed\soft_dav_part_1\1726.html#21591</t>
        </is>
      </c>
    </row>
    <row r="86">
      <c r="A86" s="2">
        <f>IF(COUNTIF('Sample 20'!$B$2:$B$21,B86)&gt;0,"是","")</f>
        <v/>
      </c>
      <c r="B86" s="2" t="inlineStr">
        <is>
          <t>21258</t>
        </is>
      </c>
      <c r="C86" s="15" t="inlineStr">
        <is>
          <t>Software Developer</t>
        </is>
      </c>
      <c r="D86" s="15">
        <f>IF(E86&gt;='Scoring Rules'!$B$3,"强",IF(E86&gt;='Scoring Rules'!$B$4,"中","弱"))</f>
        <v/>
      </c>
      <c r="E86" s="125">
        <f>MIN(100,H86+IF(I86&gt;=5,'Scoring Rules'!$B$16,IF(I86&gt;=3,'Scoring Rules'!$B$17,IF(I86&gt;=1,'Scoring Rules'!$B$18,'Scoring Rules'!$B$19)))+IF(L86="是",'Scoring Rules'!$B$22,0)+MIN(J86*'Scoring Rules'!$B$23,'Scoring Rules'!$B$24)+IF(M86="是",'Scoring Rules'!$B$25,0)+MIN((IF(K86="",0,LEN(K86)-LEN(SUBSTITUTE(K86,";",""))+1))*'Scoring Rules'!$B$26,'Scoring Rules'!$B$27)+IF(N86="是",'Scoring Rules'!$B$28,0)+IF(O86="是",'Scoring Rules'!$B$29,0)+IF(P86="是",'Scoring Rules'!$B$30,0)+IF(Q86="是",'Scoring Rules'!$B$31,0)+IF(R86="是",'Scoring Rules'!$B$32,0)+IF(S86&gt;=8000,'Scoring Rules'!$B$35,IF(S86&gt;=4000,'Scoring Rules'!$B$36,IF(S86&gt;=2000,'Scoring Rules'!$B$37,'Scoring Rules'!$B$38))))</f>
        <v/>
      </c>
      <c r="F86" s="15" t="inlineStr">
        <is>
          <t>Standard</t>
        </is>
      </c>
      <c r="G86" s="15" t="inlineStr">
        <is>
          <t>Master</t>
        </is>
      </c>
      <c r="H86" s="15" t="n">
        <v>16</v>
      </c>
      <c r="I86" s="15" t="n">
        <v>2</v>
      </c>
      <c r="J86" s="15" t="n">
        <v>16</v>
      </c>
      <c r="K86" s="15" t="str"/>
      <c r="L86" s="15" t="inlineStr">
        <is>
          <t>是</t>
        </is>
      </c>
      <c r="M86" s="15" t="str"/>
      <c r="N86" s="15" t="str"/>
      <c r="O86" s="15" t="str"/>
      <c r="P86" s="15" t="str"/>
      <c r="Q86" s="15" t="inlineStr">
        <is>
          <t>是</t>
        </is>
      </c>
      <c r="R86" s="15" t="inlineStr">
        <is>
          <t>是</t>
        </is>
      </c>
      <c r="S86" s="15" t="n">
        <v>9011</v>
      </c>
      <c r="T86" s="15" t="inlineStr">
        <is>
          <t>Frontend; Backend/API; Data/Database; Embedded/Systems; Testing/Automation</t>
        </is>
      </c>
      <c r="U86" s="15" t="inlineStr">
        <is>
          <t>Finance/Banking; Technology; Education/Research; Retail/E-commerce</t>
        </is>
      </c>
      <c r="V86" s="15" t="inlineStr">
        <is>
          <t>C:\Workspace\java\scrape_indeed\soft_dav_part_1\1735.html#21601</t>
        </is>
      </c>
    </row>
    <row r="87">
      <c r="A87" s="2">
        <f>IF(COUNTIF('Sample 20'!$B$2:$B$21,B87)&gt;0,"是","")</f>
        <v/>
      </c>
      <c r="B87" s="2" t="inlineStr">
        <is>
          <t>21259</t>
        </is>
      </c>
      <c r="C87" s="15" t="inlineStr">
        <is>
          <t>Software Developer</t>
        </is>
      </c>
      <c r="D87" s="15">
        <f>IF(E87&gt;='Scoring Rules'!$B$3,"强",IF(E87&gt;='Scoring Rules'!$B$4,"中","弱"))</f>
        <v/>
      </c>
      <c r="E87" s="125">
        <f>MIN(100,H87+IF(I87&gt;=5,'Scoring Rules'!$B$16,IF(I87&gt;=3,'Scoring Rules'!$B$17,IF(I87&gt;=1,'Scoring Rules'!$B$18,'Scoring Rules'!$B$19)))+IF(L87="是",'Scoring Rules'!$B$22,0)+MIN(J87*'Scoring Rules'!$B$23,'Scoring Rules'!$B$24)+IF(M87="是",'Scoring Rules'!$B$25,0)+MIN((IF(K87="",0,LEN(K87)-LEN(SUBSTITUTE(K87,";",""))+1))*'Scoring Rules'!$B$26,'Scoring Rules'!$B$27)+IF(N87="是",'Scoring Rules'!$B$28,0)+IF(O87="是",'Scoring Rules'!$B$29,0)+IF(P87="是",'Scoring Rules'!$B$30,0)+IF(Q87="是",'Scoring Rules'!$B$31,0)+IF(R87="是",'Scoring Rules'!$B$32,0)+IF(S87&gt;=8000,'Scoring Rules'!$B$35,IF(S87&gt;=4000,'Scoring Rules'!$B$36,IF(S87&gt;=2000,'Scoring Rules'!$B$37,'Scoring Rules'!$B$38))))</f>
        <v/>
      </c>
      <c r="F87" s="15" t="inlineStr">
        <is>
          <t>Standard</t>
        </is>
      </c>
      <c r="G87" s="15" t="inlineStr">
        <is>
          <t>Bachelor</t>
        </is>
      </c>
      <c r="H87" s="15" t="n">
        <v>12</v>
      </c>
      <c r="I87" s="15" t="n">
        <v>4</v>
      </c>
      <c r="J87" s="15" t="n">
        <v>8</v>
      </c>
      <c r="K87" s="15" t="str"/>
      <c r="L87" s="15" t="inlineStr">
        <is>
          <t>是</t>
        </is>
      </c>
      <c r="M87" s="15" t="str"/>
      <c r="N87" s="15" t="str"/>
      <c r="O87" s="15" t="str"/>
      <c r="P87" s="15" t="str"/>
      <c r="Q87" s="15" t="str"/>
      <c r="R87" s="15" t="str"/>
      <c r="S87" s="15" t="n">
        <v>3503</v>
      </c>
      <c r="T87" s="15" t="inlineStr">
        <is>
          <t>Frontend; Backend/API; Data/Database</t>
        </is>
      </c>
      <c r="U87" s="15" t="inlineStr">
        <is>
          <t>Government/Defense; Technology; Education/Research</t>
        </is>
      </c>
      <c r="V87" s="15" t="inlineStr">
        <is>
          <t>C:\Workspace\java\scrape_indeed\soft_dav_part_1\1736.html#21602</t>
        </is>
      </c>
    </row>
    <row r="88">
      <c r="A88" s="2">
        <f>IF(COUNTIF('Sample 20'!$B$2:$B$21,B88)&gt;0,"是","")</f>
        <v/>
      </c>
      <c r="B88" s="2" t="inlineStr">
        <is>
          <t>21269</t>
        </is>
      </c>
      <c r="C88" s="15" t="inlineStr">
        <is>
          <t>Software Developer</t>
        </is>
      </c>
      <c r="D88" s="15">
        <f>IF(E88&gt;='Scoring Rules'!$B$3,"强",IF(E88&gt;='Scoring Rules'!$B$4,"中","弱"))</f>
        <v/>
      </c>
      <c r="E88" s="125">
        <f>MIN(100,H88+IF(I88&gt;=5,'Scoring Rules'!$B$16,IF(I88&gt;=3,'Scoring Rules'!$B$17,IF(I88&gt;=1,'Scoring Rules'!$B$18,'Scoring Rules'!$B$19)))+IF(L88="是",'Scoring Rules'!$B$22,0)+MIN(J88*'Scoring Rules'!$B$23,'Scoring Rules'!$B$24)+IF(M88="是",'Scoring Rules'!$B$25,0)+MIN((IF(K88="",0,LEN(K88)-LEN(SUBSTITUTE(K88,";",""))+1))*'Scoring Rules'!$B$26,'Scoring Rules'!$B$27)+IF(N88="是",'Scoring Rules'!$B$28,0)+IF(O88="是",'Scoring Rules'!$B$29,0)+IF(P88="是",'Scoring Rules'!$B$30,0)+IF(Q88="是",'Scoring Rules'!$B$31,0)+IF(R88="是",'Scoring Rules'!$B$32,0)+IF(S88&gt;=8000,'Scoring Rules'!$B$35,IF(S88&gt;=4000,'Scoring Rules'!$B$36,IF(S88&gt;=2000,'Scoring Rules'!$B$37,'Scoring Rules'!$B$38))))</f>
        <v/>
      </c>
      <c r="F88" s="15" t="inlineStr">
        <is>
          <t>Standard</t>
        </is>
      </c>
      <c r="G88" s="15" t="inlineStr">
        <is>
          <t>Master</t>
        </is>
      </c>
      <c r="H88" s="15" t="n">
        <v>16</v>
      </c>
      <c r="I88" s="15" t="n">
        <v>3</v>
      </c>
      <c r="J88" s="15" t="n">
        <v>25</v>
      </c>
      <c r="K88" s="15" t="str"/>
      <c r="L88" s="15" t="inlineStr">
        <is>
          <t>是</t>
        </is>
      </c>
      <c r="M88" s="15" t="str"/>
      <c r="N88" s="15" t="str"/>
      <c r="O88" s="15" t="str"/>
      <c r="P88" s="15" t="inlineStr">
        <is>
          <t>是</t>
        </is>
      </c>
      <c r="Q88" s="15" t="inlineStr">
        <is>
          <t>是</t>
        </is>
      </c>
      <c r="R88" s="15" t="inlineStr">
        <is>
          <t>是</t>
        </is>
      </c>
      <c r="S88" s="15" t="n">
        <v>4891</v>
      </c>
      <c r="T88" s="15" t="inlineStr">
        <is>
          <t>Frontend; Backend/API; Data/Database; Embedded/Systems; Testing/Automation</t>
        </is>
      </c>
      <c r="U88" s="15" t="inlineStr">
        <is>
          <t>Technology; Education/Research</t>
        </is>
      </c>
      <c r="V88" s="15" t="inlineStr">
        <is>
          <t>C:\Workspace\java\scrape_indeed\soft_dav_part_1\1747.html#21614</t>
        </is>
      </c>
    </row>
    <row r="89">
      <c r="A89" s="2">
        <f>IF(COUNTIF('Sample 20'!$B$2:$B$21,B89)&gt;0,"是","")</f>
        <v/>
      </c>
      <c r="B89" s="2" t="inlineStr">
        <is>
          <t>21283</t>
        </is>
      </c>
      <c r="C89" s="15" t="inlineStr">
        <is>
          <t>Software Developer</t>
        </is>
      </c>
      <c r="D89" s="15">
        <f>IF(E89&gt;='Scoring Rules'!$B$3,"强",IF(E89&gt;='Scoring Rules'!$B$4,"中","弱"))</f>
        <v/>
      </c>
      <c r="E89" s="125">
        <f>MIN(100,H89+IF(I89&gt;=5,'Scoring Rules'!$B$16,IF(I89&gt;=3,'Scoring Rules'!$B$17,IF(I89&gt;=1,'Scoring Rules'!$B$18,'Scoring Rules'!$B$19)))+IF(L89="是",'Scoring Rules'!$B$22,0)+MIN(J89*'Scoring Rules'!$B$23,'Scoring Rules'!$B$24)+IF(M89="是",'Scoring Rules'!$B$25,0)+MIN((IF(K89="",0,LEN(K89)-LEN(SUBSTITUTE(K89,";",""))+1))*'Scoring Rules'!$B$26,'Scoring Rules'!$B$27)+IF(N89="是",'Scoring Rules'!$B$28,0)+IF(O89="是",'Scoring Rules'!$B$29,0)+IF(P89="是",'Scoring Rules'!$B$30,0)+IF(Q89="是",'Scoring Rules'!$B$31,0)+IF(R89="是",'Scoring Rules'!$B$32,0)+IF(S89&gt;=8000,'Scoring Rules'!$B$35,IF(S89&gt;=4000,'Scoring Rules'!$B$36,IF(S89&gt;=2000,'Scoring Rules'!$B$37,'Scoring Rules'!$B$38))))</f>
        <v/>
      </c>
      <c r="F89" s="15" t="inlineStr">
        <is>
          <t>Standard</t>
        </is>
      </c>
      <c r="G89" s="15" t="inlineStr">
        <is>
          <t>Master</t>
        </is>
      </c>
      <c r="H89" s="15" t="n">
        <v>16</v>
      </c>
      <c r="I89" s="15" t="n">
        <v>5</v>
      </c>
      <c r="J89" s="15" t="n">
        <v>20</v>
      </c>
      <c r="K89" s="15" t="str"/>
      <c r="L89" s="15" t="inlineStr">
        <is>
          <t>是</t>
        </is>
      </c>
      <c r="M89" s="15" t="str"/>
      <c r="N89" s="15" t="str"/>
      <c r="O89" s="15" t="str"/>
      <c r="P89" s="15" t="str"/>
      <c r="Q89" s="15" t="inlineStr">
        <is>
          <t>是</t>
        </is>
      </c>
      <c r="R89" s="15" t="inlineStr">
        <is>
          <t>是</t>
        </is>
      </c>
      <c r="S89" s="15" t="n">
        <v>5190</v>
      </c>
      <c r="T89" s="15" t="inlineStr">
        <is>
          <t>Frontend; Backend/API; Data/Database; Testing/Automation</t>
        </is>
      </c>
      <c r="U89" s="15" t="inlineStr">
        <is>
          <t>Technology; Education/Research</t>
        </is>
      </c>
      <c r="V89" s="15" t="inlineStr">
        <is>
          <t>C:\Workspace\java\scrape_indeed\soft_dav_part_1\1760.html#21629</t>
        </is>
      </c>
    </row>
    <row r="90">
      <c r="A90" s="2">
        <f>IF(COUNTIF('Sample 20'!$B$2:$B$21,B90)&gt;0,"是","")</f>
        <v/>
      </c>
      <c r="B90" s="2" t="inlineStr">
        <is>
          <t>21290</t>
        </is>
      </c>
      <c r="C90" s="15" t="inlineStr">
        <is>
          <t>Software Developer</t>
        </is>
      </c>
      <c r="D90" s="15">
        <f>IF(E90&gt;='Scoring Rules'!$B$3,"强",IF(E90&gt;='Scoring Rules'!$B$4,"中","弱"))</f>
        <v/>
      </c>
      <c r="E90" s="125">
        <f>MIN(100,H90+IF(I90&gt;=5,'Scoring Rules'!$B$16,IF(I90&gt;=3,'Scoring Rules'!$B$17,IF(I90&gt;=1,'Scoring Rules'!$B$18,'Scoring Rules'!$B$19)))+IF(L90="是",'Scoring Rules'!$B$22,0)+MIN(J90*'Scoring Rules'!$B$23,'Scoring Rules'!$B$24)+IF(M90="是",'Scoring Rules'!$B$25,0)+MIN((IF(K90="",0,LEN(K90)-LEN(SUBSTITUTE(K90,";",""))+1))*'Scoring Rules'!$B$26,'Scoring Rules'!$B$27)+IF(N90="是",'Scoring Rules'!$B$28,0)+IF(O90="是",'Scoring Rules'!$B$29,0)+IF(P90="是",'Scoring Rules'!$B$30,0)+IF(Q90="是",'Scoring Rules'!$B$31,0)+IF(R90="是",'Scoring Rules'!$B$32,0)+IF(S90&gt;=8000,'Scoring Rules'!$B$35,IF(S90&gt;=4000,'Scoring Rules'!$B$36,IF(S90&gt;=2000,'Scoring Rules'!$B$37,'Scoring Rules'!$B$38))))</f>
        <v/>
      </c>
      <c r="F90" s="15" t="inlineStr">
        <is>
          <t>Standard</t>
        </is>
      </c>
      <c r="G90" s="15" t="inlineStr">
        <is>
          <t>Master</t>
        </is>
      </c>
      <c r="H90" s="15" t="n">
        <v>16</v>
      </c>
      <c r="I90" s="15" t="n">
        <v>2</v>
      </c>
      <c r="J90" s="15" t="n">
        <v>23</v>
      </c>
      <c r="K90" s="15" t="str"/>
      <c r="L90" s="15" t="inlineStr">
        <is>
          <t>是</t>
        </is>
      </c>
      <c r="M90" s="15" t="str"/>
      <c r="N90" s="15" t="str"/>
      <c r="O90" s="15" t="str"/>
      <c r="P90" s="15" t="str"/>
      <c r="Q90" s="15" t="str"/>
      <c r="R90" s="15" t="str"/>
      <c r="S90" s="15" t="n">
        <v>4995</v>
      </c>
      <c r="T90" s="15" t="inlineStr">
        <is>
          <t>Frontend; Backend/API; Data/Database; Cloud/DevOps; Embedded/Systems; Testing/Automation</t>
        </is>
      </c>
      <c r="U90" s="15" t="inlineStr">
        <is>
          <t>Finance/Banking; Technology; Telecom; Education/Research</t>
        </is>
      </c>
      <c r="V90" s="15" t="inlineStr">
        <is>
          <t>C:\Workspace\java\scrape_indeed\soft_dav_part_1\1767.html#21636</t>
        </is>
      </c>
    </row>
    <row r="91">
      <c r="A91" s="2">
        <f>IF(COUNTIF('Sample 20'!$B$2:$B$21,B91)&gt;0,"是","")</f>
        <v/>
      </c>
      <c r="B91" s="2" t="inlineStr">
        <is>
          <t>21309</t>
        </is>
      </c>
      <c r="C91" s="15" t="inlineStr">
        <is>
          <t>Software Developer</t>
        </is>
      </c>
      <c r="D91" s="15">
        <f>IF(E91&gt;='Scoring Rules'!$B$3,"强",IF(E91&gt;='Scoring Rules'!$B$4,"中","弱"))</f>
        <v/>
      </c>
      <c r="E91" s="125">
        <f>MIN(100,H91+IF(I91&gt;=5,'Scoring Rules'!$B$16,IF(I91&gt;=3,'Scoring Rules'!$B$17,IF(I91&gt;=1,'Scoring Rules'!$B$18,'Scoring Rules'!$B$19)))+IF(L91="是",'Scoring Rules'!$B$22,0)+MIN(J91*'Scoring Rules'!$B$23,'Scoring Rules'!$B$24)+IF(M91="是",'Scoring Rules'!$B$25,0)+MIN((IF(K91="",0,LEN(K91)-LEN(SUBSTITUTE(K91,";",""))+1))*'Scoring Rules'!$B$26,'Scoring Rules'!$B$27)+IF(N91="是",'Scoring Rules'!$B$28,0)+IF(O91="是",'Scoring Rules'!$B$29,0)+IF(P91="是",'Scoring Rules'!$B$30,0)+IF(Q91="是",'Scoring Rules'!$B$31,0)+IF(R91="是",'Scoring Rules'!$B$32,0)+IF(S91&gt;=8000,'Scoring Rules'!$B$35,IF(S91&gt;=4000,'Scoring Rules'!$B$36,IF(S91&gt;=2000,'Scoring Rules'!$B$37,'Scoring Rules'!$B$38))))</f>
        <v/>
      </c>
      <c r="F91" s="15" t="inlineStr">
        <is>
          <t>Standard</t>
        </is>
      </c>
      <c r="G91" s="15" t="inlineStr">
        <is>
          <t>Unspecified</t>
        </is>
      </c>
      <c r="H91" s="15" t="n">
        <v>2</v>
      </c>
      <c r="I91" s="15" t="n">
        <v>3</v>
      </c>
      <c r="J91" s="15" t="n">
        <v>13</v>
      </c>
      <c r="K91" s="15" t="str"/>
      <c r="L91" s="15" t="inlineStr">
        <is>
          <t>是</t>
        </is>
      </c>
      <c r="M91" s="15" t="str"/>
      <c r="N91" s="15" t="str"/>
      <c r="O91" s="15" t="str"/>
      <c r="P91" s="15" t="str"/>
      <c r="Q91" s="15" t="str"/>
      <c r="R91" s="15" t="inlineStr">
        <is>
          <t>是</t>
        </is>
      </c>
      <c r="S91" s="15" t="n">
        <v>2198</v>
      </c>
      <c r="T91" s="15" t="inlineStr">
        <is>
          <t>Frontend; Backend/API; Data/Database</t>
        </is>
      </c>
      <c r="U91" s="15" t="inlineStr">
        <is>
          <t>Government/Defense; Technology; Education/Research</t>
        </is>
      </c>
      <c r="V91" s="15" t="inlineStr">
        <is>
          <t>C:\Workspace\java\scrape_indeed\soft_dav_part_1\1784.html#21655</t>
        </is>
      </c>
    </row>
    <row r="92">
      <c r="A92" s="2">
        <f>IF(COUNTIF('Sample 20'!$B$2:$B$21,B92)&gt;0,"是","")</f>
        <v/>
      </c>
      <c r="B92" s="2" t="inlineStr">
        <is>
          <t>21321</t>
        </is>
      </c>
      <c r="C92" s="15" t="inlineStr">
        <is>
          <t>Software Developer</t>
        </is>
      </c>
      <c r="D92" s="15">
        <f>IF(E92&gt;='Scoring Rules'!$B$3,"强",IF(E92&gt;='Scoring Rules'!$B$4,"中","弱"))</f>
        <v/>
      </c>
      <c r="E92" s="125">
        <f>MIN(100,H92+IF(I92&gt;=5,'Scoring Rules'!$B$16,IF(I92&gt;=3,'Scoring Rules'!$B$17,IF(I92&gt;=1,'Scoring Rules'!$B$18,'Scoring Rules'!$B$19)))+IF(L92="是",'Scoring Rules'!$B$22,0)+MIN(J92*'Scoring Rules'!$B$23,'Scoring Rules'!$B$24)+IF(M92="是",'Scoring Rules'!$B$25,0)+MIN((IF(K92="",0,LEN(K92)-LEN(SUBSTITUTE(K92,";",""))+1))*'Scoring Rules'!$B$26,'Scoring Rules'!$B$27)+IF(N92="是",'Scoring Rules'!$B$28,0)+IF(O92="是",'Scoring Rules'!$B$29,0)+IF(P92="是",'Scoring Rules'!$B$30,0)+IF(Q92="是",'Scoring Rules'!$B$31,0)+IF(R92="是",'Scoring Rules'!$B$32,0)+IF(S92&gt;=8000,'Scoring Rules'!$B$35,IF(S92&gt;=4000,'Scoring Rules'!$B$36,IF(S92&gt;=2000,'Scoring Rules'!$B$37,'Scoring Rules'!$B$38))))</f>
        <v/>
      </c>
      <c r="F92" s="15" t="inlineStr">
        <is>
          <t>Standard</t>
        </is>
      </c>
      <c r="G92" s="15" t="inlineStr">
        <is>
          <t>Bachelor</t>
        </is>
      </c>
      <c r="H92" s="15" t="n">
        <v>12</v>
      </c>
      <c r="I92" s="15" t="n">
        <v>5</v>
      </c>
      <c r="J92" s="15" t="n">
        <v>18</v>
      </c>
      <c r="K92" s="15" t="str"/>
      <c r="L92" s="15" t="inlineStr">
        <is>
          <t>是</t>
        </is>
      </c>
      <c r="M92" s="15" t="str"/>
      <c r="N92" s="15" t="str"/>
      <c r="O92" s="15" t="str"/>
      <c r="P92" s="15" t="str"/>
      <c r="Q92" s="15" t="str"/>
      <c r="R92" s="15" t="inlineStr">
        <is>
          <t>是</t>
        </is>
      </c>
      <c r="S92" s="15" t="n">
        <v>3219</v>
      </c>
      <c r="T92" s="15" t="inlineStr">
        <is>
          <t>Frontend; Backend/API; Data/Database</t>
        </is>
      </c>
      <c r="U92" s="15" t="inlineStr">
        <is>
          <t>Technology; Education/Research</t>
        </is>
      </c>
      <c r="V92" s="15" t="inlineStr">
        <is>
          <t>C:\Workspace\java\scrape_indeed\soft_dav_part_1\1796.html#21668</t>
        </is>
      </c>
    </row>
    <row r="93">
      <c r="A93" s="2">
        <f>IF(COUNTIF('Sample 20'!$B$2:$B$21,B93)&gt;0,"是","")</f>
        <v/>
      </c>
      <c r="B93" s="2" t="inlineStr">
        <is>
          <t>21351</t>
        </is>
      </c>
      <c r="C93" s="15" t="inlineStr">
        <is>
          <t>Software Developer</t>
        </is>
      </c>
      <c r="D93" s="15">
        <f>IF(E93&gt;='Scoring Rules'!$B$3,"强",IF(E93&gt;='Scoring Rules'!$B$4,"中","弱"))</f>
        <v/>
      </c>
      <c r="E93" s="125">
        <f>MIN(100,H93+IF(I93&gt;=5,'Scoring Rules'!$B$16,IF(I93&gt;=3,'Scoring Rules'!$B$17,IF(I93&gt;=1,'Scoring Rules'!$B$18,'Scoring Rules'!$B$19)))+IF(L93="是",'Scoring Rules'!$B$22,0)+MIN(J93*'Scoring Rules'!$B$23,'Scoring Rules'!$B$24)+IF(M93="是",'Scoring Rules'!$B$25,0)+MIN((IF(K93="",0,LEN(K93)-LEN(SUBSTITUTE(K93,";",""))+1))*'Scoring Rules'!$B$26,'Scoring Rules'!$B$27)+IF(N93="是",'Scoring Rules'!$B$28,0)+IF(O93="是",'Scoring Rules'!$B$29,0)+IF(P93="是",'Scoring Rules'!$B$30,0)+IF(Q93="是",'Scoring Rules'!$B$31,0)+IF(R93="是",'Scoring Rules'!$B$32,0)+IF(S93&gt;=8000,'Scoring Rules'!$B$35,IF(S93&gt;=4000,'Scoring Rules'!$B$36,IF(S93&gt;=2000,'Scoring Rules'!$B$37,'Scoring Rules'!$B$38))))</f>
        <v/>
      </c>
      <c r="F93" s="15" t="inlineStr">
        <is>
          <t>Standard</t>
        </is>
      </c>
      <c r="G93" s="15" t="inlineStr">
        <is>
          <t>Bachelor</t>
        </is>
      </c>
      <c r="H93" s="15" t="n">
        <v>12</v>
      </c>
      <c r="I93" s="15" t="n">
        <v>3</v>
      </c>
      <c r="J93" s="15" t="n">
        <v>18</v>
      </c>
      <c r="K93" s="15" t="str"/>
      <c r="L93" s="15" t="inlineStr">
        <is>
          <t>是</t>
        </is>
      </c>
      <c r="M93" s="15" t="str"/>
      <c r="N93" s="15" t="str"/>
      <c r="O93" s="15" t="str"/>
      <c r="P93" s="15" t="str"/>
      <c r="Q93" s="15" t="str"/>
      <c r="R93" s="15" t="inlineStr">
        <is>
          <t>是</t>
        </is>
      </c>
      <c r="S93" s="15" t="n">
        <v>5005</v>
      </c>
      <c r="T93" s="15" t="inlineStr">
        <is>
          <t>Frontend; Backend/API; Data/Database; Testing/Automation</t>
        </is>
      </c>
      <c r="U93" s="15" t="inlineStr">
        <is>
          <t>Technology; Education/Research</t>
        </is>
      </c>
      <c r="V93" s="15" t="inlineStr">
        <is>
          <t>C:\Workspace\java\scrape_indeed\soft_dav_part_1\1822.html#21698</t>
        </is>
      </c>
    </row>
    <row r="94">
      <c r="A94" s="2">
        <f>IF(COUNTIF('Sample 20'!$B$2:$B$21,B94)&gt;0,"是","")</f>
        <v/>
      </c>
      <c r="B94" s="2" t="inlineStr">
        <is>
          <t>21359</t>
        </is>
      </c>
      <c r="C94" s="15" t="inlineStr">
        <is>
          <t>Software Developer</t>
        </is>
      </c>
      <c r="D94" s="15">
        <f>IF(E94&gt;='Scoring Rules'!$B$3,"强",IF(E94&gt;='Scoring Rules'!$B$4,"中","弱"))</f>
        <v/>
      </c>
      <c r="E94" s="125">
        <f>MIN(100,H94+IF(I94&gt;=5,'Scoring Rules'!$B$16,IF(I94&gt;=3,'Scoring Rules'!$B$17,IF(I94&gt;=1,'Scoring Rules'!$B$18,'Scoring Rules'!$B$19)))+IF(L94="是",'Scoring Rules'!$B$22,0)+MIN(J94*'Scoring Rules'!$B$23,'Scoring Rules'!$B$24)+IF(M94="是",'Scoring Rules'!$B$25,0)+MIN((IF(K94="",0,LEN(K94)-LEN(SUBSTITUTE(K94,";",""))+1))*'Scoring Rules'!$B$26,'Scoring Rules'!$B$27)+IF(N94="是",'Scoring Rules'!$B$28,0)+IF(O94="是",'Scoring Rules'!$B$29,0)+IF(P94="是",'Scoring Rules'!$B$30,0)+IF(Q94="是",'Scoring Rules'!$B$31,0)+IF(R94="是",'Scoring Rules'!$B$32,0)+IF(S94&gt;=8000,'Scoring Rules'!$B$35,IF(S94&gt;=4000,'Scoring Rules'!$B$36,IF(S94&gt;=2000,'Scoring Rules'!$B$37,'Scoring Rules'!$B$38))))</f>
        <v/>
      </c>
      <c r="F94" s="15" t="inlineStr">
        <is>
          <t>Standard</t>
        </is>
      </c>
      <c r="G94" s="15" t="inlineStr">
        <is>
          <t>Bachelor</t>
        </is>
      </c>
      <c r="H94" s="15" t="n">
        <v>12</v>
      </c>
      <c r="I94" s="15" t="n">
        <v>3</v>
      </c>
      <c r="J94" s="15" t="n">
        <v>12</v>
      </c>
      <c r="K94" s="15" t="str"/>
      <c r="L94" s="15" t="inlineStr">
        <is>
          <t>是</t>
        </is>
      </c>
      <c r="M94" s="15" t="str"/>
      <c r="N94" s="15" t="str"/>
      <c r="O94" s="15" t="str"/>
      <c r="P94" s="15" t="str"/>
      <c r="Q94" s="15" t="inlineStr">
        <is>
          <t>是</t>
        </is>
      </c>
      <c r="R94" s="15" t="inlineStr">
        <is>
          <t>是</t>
        </is>
      </c>
      <c r="S94" s="15" t="n">
        <v>1806</v>
      </c>
      <c r="T94" s="15" t="inlineStr">
        <is>
          <t>Frontend; Backend/API; Data/Database</t>
        </is>
      </c>
      <c r="U94" s="15" t="inlineStr">
        <is>
          <t>Technology</t>
        </is>
      </c>
      <c r="V94" s="15" t="inlineStr">
        <is>
          <t>C:\Workspace\java\scrape_indeed\soft_dav_part_1\183.html#21706</t>
        </is>
      </c>
    </row>
    <row r="95">
      <c r="A95" s="2">
        <f>IF(COUNTIF('Sample 20'!$B$2:$B$21,B95)&gt;0,"是","")</f>
        <v/>
      </c>
      <c r="B95" s="2" t="inlineStr">
        <is>
          <t>21373</t>
        </is>
      </c>
      <c r="C95" s="15" t="inlineStr">
        <is>
          <t>Software Developer</t>
        </is>
      </c>
      <c r="D95" s="15">
        <f>IF(E95&gt;='Scoring Rules'!$B$3,"强",IF(E95&gt;='Scoring Rules'!$B$4,"中","弱"))</f>
        <v/>
      </c>
      <c r="E95" s="125">
        <f>MIN(100,H95+IF(I95&gt;=5,'Scoring Rules'!$B$16,IF(I95&gt;=3,'Scoring Rules'!$B$17,IF(I95&gt;=1,'Scoring Rules'!$B$18,'Scoring Rules'!$B$19)))+IF(L95="是",'Scoring Rules'!$B$22,0)+MIN(J95*'Scoring Rules'!$B$23,'Scoring Rules'!$B$24)+IF(M95="是",'Scoring Rules'!$B$25,0)+MIN((IF(K95="",0,LEN(K95)-LEN(SUBSTITUTE(K95,";",""))+1))*'Scoring Rules'!$B$26,'Scoring Rules'!$B$27)+IF(N95="是",'Scoring Rules'!$B$28,0)+IF(O95="是",'Scoring Rules'!$B$29,0)+IF(P95="是",'Scoring Rules'!$B$30,0)+IF(Q95="是",'Scoring Rules'!$B$31,0)+IF(R95="是",'Scoring Rules'!$B$32,0)+IF(S95&gt;=8000,'Scoring Rules'!$B$35,IF(S95&gt;=4000,'Scoring Rules'!$B$36,IF(S95&gt;=2000,'Scoring Rules'!$B$37,'Scoring Rules'!$B$38))))</f>
        <v/>
      </c>
      <c r="F95" s="15" t="inlineStr">
        <is>
          <t>Standard</t>
        </is>
      </c>
      <c r="G95" s="15" t="inlineStr">
        <is>
          <t>Unspecified</t>
        </is>
      </c>
      <c r="H95" s="15" t="n">
        <v>2</v>
      </c>
      <c r="I95" s="15" t="n">
        <v>7</v>
      </c>
      <c r="J95" s="15" t="n">
        <v>17</v>
      </c>
      <c r="K95" s="15" t="str"/>
      <c r="L95" s="15" t="inlineStr">
        <is>
          <t>是</t>
        </is>
      </c>
      <c r="M95" s="15" t="str"/>
      <c r="N95" s="15" t="str"/>
      <c r="O95" s="15" t="inlineStr">
        <is>
          <t>是</t>
        </is>
      </c>
      <c r="P95" s="15" t="str"/>
      <c r="Q95" s="15" t="inlineStr">
        <is>
          <t>是</t>
        </is>
      </c>
      <c r="R95" s="15" t="inlineStr">
        <is>
          <t>是</t>
        </is>
      </c>
      <c r="S95" s="15" t="n">
        <v>7366</v>
      </c>
      <c r="T95" s="15" t="inlineStr">
        <is>
          <t>Frontend; Backend/API; Mobile; Data/Database; Cloud/DevOps; Embedded/Systems; Testing/Automation</t>
        </is>
      </c>
      <c r="U95" s="15" t="inlineStr">
        <is>
          <t>Finance/Banking; Government/Defense; Technology; Consulting; Education/Research; Retail/E-commerce</t>
        </is>
      </c>
      <c r="V95" s="15" t="inlineStr">
        <is>
          <t>C:\Workspace\java\scrape_indeed\soft_dav_part_1\1842.html#21720</t>
        </is>
      </c>
    </row>
    <row r="96">
      <c r="A96" s="2">
        <f>IF(COUNTIF('Sample 20'!$B$2:$B$21,B96)&gt;0,"是","")</f>
        <v/>
      </c>
      <c r="B96" s="2" t="inlineStr">
        <is>
          <t>21377</t>
        </is>
      </c>
      <c r="C96" s="15" t="inlineStr">
        <is>
          <t>Software Developer</t>
        </is>
      </c>
      <c r="D96" s="15">
        <f>IF(E96&gt;='Scoring Rules'!$B$3,"强",IF(E96&gt;='Scoring Rules'!$B$4,"中","弱"))</f>
        <v/>
      </c>
      <c r="E96" s="125">
        <f>MIN(100,H96+IF(I96&gt;=5,'Scoring Rules'!$B$16,IF(I96&gt;=3,'Scoring Rules'!$B$17,IF(I96&gt;=1,'Scoring Rules'!$B$18,'Scoring Rules'!$B$19)))+IF(L96="是",'Scoring Rules'!$B$22,0)+MIN(J96*'Scoring Rules'!$B$23,'Scoring Rules'!$B$24)+IF(M96="是",'Scoring Rules'!$B$25,0)+MIN((IF(K96="",0,LEN(K96)-LEN(SUBSTITUTE(K96,";",""))+1))*'Scoring Rules'!$B$26,'Scoring Rules'!$B$27)+IF(N96="是",'Scoring Rules'!$B$28,0)+IF(O96="是",'Scoring Rules'!$B$29,0)+IF(P96="是",'Scoring Rules'!$B$30,0)+IF(Q96="是",'Scoring Rules'!$B$31,0)+IF(R96="是",'Scoring Rules'!$B$32,0)+IF(S96&gt;=8000,'Scoring Rules'!$B$35,IF(S96&gt;=4000,'Scoring Rules'!$B$36,IF(S96&gt;=2000,'Scoring Rules'!$B$37,'Scoring Rules'!$B$38))))</f>
        <v/>
      </c>
      <c r="F96" s="15" t="inlineStr">
        <is>
          <t>Standard</t>
        </is>
      </c>
      <c r="G96" s="15" t="inlineStr">
        <is>
          <t>Bachelor</t>
        </is>
      </c>
      <c r="H96" s="15" t="n">
        <v>12</v>
      </c>
      <c r="I96" s="15" t="n">
        <v>1</v>
      </c>
      <c r="J96" s="15" t="n">
        <v>4</v>
      </c>
      <c r="K96" s="15" t="str"/>
      <c r="L96" s="15" t="inlineStr">
        <is>
          <t>是</t>
        </is>
      </c>
      <c r="M96" s="15" t="str"/>
      <c r="N96" s="15" t="str"/>
      <c r="O96" s="15" t="str"/>
      <c r="P96" s="15" t="str"/>
      <c r="Q96" s="15" t="str"/>
      <c r="R96" s="15" t="str"/>
      <c r="S96" s="15" t="n">
        <v>1816</v>
      </c>
      <c r="T96" s="15" t="inlineStr">
        <is>
          <t>Frontend; Data/Database</t>
        </is>
      </c>
      <c r="U96" s="15" t="inlineStr">
        <is>
          <t>Finance/Banking; Technology; Education/Research</t>
        </is>
      </c>
      <c r="V96" s="15" t="inlineStr">
        <is>
          <t>C:\Workspace\java\scrape_indeed\soft_dav_part_1\1846.html#21724</t>
        </is>
      </c>
    </row>
    <row r="97">
      <c r="A97" s="2">
        <f>IF(COUNTIF('Sample 20'!$B$2:$B$21,B97)&gt;0,"是","")</f>
        <v/>
      </c>
      <c r="B97" s="2" t="inlineStr">
        <is>
          <t>21381</t>
        </is>
      </c>
      <c r="C97" s="15" t="inlineStr">
        <is>
          <t>Software Developer</t>
        </is>
      </c>
      <c r="D97" s="15">
        <f>IF(E97&gt;='Scoring Rules'!$B$3,"强",IF(E97&gt;='Scoring Rules'!$B$4,"中","弱"))</f>
        <v/>
      </c>
      <c r="E97" s="125">
        <f>MIN(100,H97+IF(I97&gt;=5,'Scoring Rules'!$B$16,IF(I97&gt;=3,'Scoring Rules'!$B$17,IF(I97&gt;=1,'Scoring Rules'!$B$18,'Scoring Rules'!$B$19)))+IF(L97="是",'Scoring Rules'!$B$22,0)+MIN(J97*'Scoring Rules'!$B$23,'Scoring Rules'!$B$24)+IF(M97="是",'Scoring Rules'!$B$25,0)+MIN((IF(K97="",0,LEN(K97)-LEN(SUBSTITUTE(K97,";",""))+1))*'Scoring Rules'!$B$26,'Scoring Rules'!$B$27)+IF(N97="是",'Scoring Rules'!$B$28,0)+IF(O97="是",'Scoring Rules'!$B$29,0)+IF(P97="是",'Scoring Rules'!$B$30,0)+IF(Q97="是",'Scoring Rules'!$B$31,0)+IF(R97="是",'Scoring Rules'!$B$32,0)+IF(S97&gt;=8000,'Scoring Rules'!$B$35,IF(S97&gt;=4000,'Scoring Rules'!$B$36,IF(S97&gt;=2000,'Scoring Rules'!$B$37,'Scoring Rules'!$B$38))))</f>
        <v/>
      </c>
      <c r="F97" s="15" t="inlineStr">
        <is>
          <t>Standard</t>
        </is>
      </c>
      <c r="G97" s="15" t="inlineStr">
        <is>
          <t>Unspecified</t>
        </is>
      </c>
      <c r="H97" s="15" t="n">
        <v>2</v>
      </c>
      <c r="I97" s="15" t="n">
        <v>3</v>
      </c>
      <c r="J97" s="15" t="n">
        <v>14</v>
      </c>
      <c r="K97" s="15" t="str"/>
      <c r="L97" s="15" t="inlineStr">
        <is>
          <t>是</t>
        </is>
      </c>
      <c r="M97" s="15" t="str"/>
      <c r="N97" s="15" t="str"/>
      <c r="O97" s="15" t="str"/>
      <c r="P97" s="15" t="str"/>
      <c r="Q97" s="15" t="inlineStr">
        <is>
          <t>是</t>
        </is>
      </c>
      <c r="R97" s="15" t="str"/>
      <c r="S97" s="15" t="n">
        <v>1874</v>
      </c>
      <c r="T97" s="15" t="inlineStr">
        <is>
          <t>Frontend; Backend/API; Data/Database; Embedded/Systems</t>
        </is>
      </c>
      <c r="U97" s="15" t="inlineStr">
        <is>
          <t>Technology</t>
        </is>
      </c>
      <c r="V97" s="15" t="inlineStr">
        <is>
          <t>C:\Workspace\java\scrape_indeed\soft_dav_part_1\185.html#21728</t>
        </is>
      </c>
    </row>
    <row r="98">
      <c r="A98" s="2">
        <f>IF(COUNTIF('Sample 20'!$B$2:$B$21,B98)&gt;0,"是","")</f>
        <v/>
      </c>
      <c r="B98" s="2" t="inlineStr">
        <is>
          <t>21382</t>
        </is>
      </c>
      <c r="C98" s="15" t="inlineStr">
        <is>
          <t>Software Developer</t>
        </is>
      </c>
      <c r="D98" s="15">
        <f>IF(E98&gt;='Scoring Rules'!$B$3,"强",IF(E98&gt;='Scoring Rules'!$B$4,"中","弱"))</f>
        <v/>
      </c>
      <c r="E98" s="125">
        <f>MIN(100,H98+IF(I98&gt;=5,'Scoring Rules'!$B$16,IF(I98&gt;=3,'Scoring Rules'!$B$17,IF(I98&gt;=1,'Scoring Rules'!$B$18,'Scoring Rules'!$B$19)))+IF(L98="是",'Scoring Rules'!$B$22,0)+MIN(J98*'Scoring Rules'!$B$23,'Scoring Rules'!$B$24)+IF(M98="是",'Scoring Rules'!$B$25,0)+MIN((IF(K98="",0,LEN(K98)-LEN(SUBSTITUTE(K98,";",""))+1))*'Scoring Rules'!$B$26,'Scoring Rules'!$B$27)+IF(N98="是",'Scoring Rules'!$B$28,0)+IF(O98="是",'Scoring Rules'!$B$29,0)+IF(P98="是",'Scoring Rules'!$B$30,0)+IF(Q98="是",'Scoring Rules'!$B$31,0)+IF(R98="是",'Scoring Rules'!$B$32,0)+IF(S98&gt;=8000,'Scoring Rules'!$B$35,IF(S98&gt;=4000,'Scoring Rules'!$B$36,IF(S98&gt;=2000,'Scoring Rules'!$B$37,'Scoring Rules'!$B$38))))</f>
        <v/>
      </c>
      <c r="F98" s="15" t="inlineStr">
        <is>
          <t>Standard</t>
        </is>
      </c>
      <c r="G98" s="15" t="inlineStr">
        <is>
          <t>Unspecified</t>
        </is>
      </c>
      <c r="H98" s="15" t="n">
        <v>2</v>
      </c>
      <c r="I98" s="15" t="n">
        <v>9</v>
      </c>
      <c r="J98" s="15" t="n">
        <v>14</v>
      </c>
      <c r="K98" s="15" t="str"/>
      <c r="L98" s="15" t="inlineStr">
        <is>
          <t>是</t>
        </is>
      </c>
      <c r="M98" s="15" t="str"/>
      <c r="N98" s="15" t="str"/>
      <c r="O98" s="15" t="str"/>
      <c r="P98" s="15" t="inlineStr">
        <is>
          <t>是</t>
        </is>
      </c>
      <c r="Q98" s="15" t="str"/>
      <c r="R98" s="15" t="inlineStr">
        <is>
          <t>是</t>
        </is>
      </c>
      <c r="S98" s="15" t="n">
        <v>8216</v>
      </c>
      <c r="T98" s="15" t="inlineStr">
        <is>
          <t>Frontend; Backend/API; Data/Database</t>
        </is>
      </c>
      <c r="U98" s="15" t="inlineStr">
        <is>
          <t>Finance/Banking; Technology; Education/Research</t>
        </is>
      </c>
      <c r="V98" s="15" t="inlineStr">
        <is>
          <t>C:\Workspace\java\scrape_indeed\soft_dav_part_1\1850.html#21729</t>
        </is>
      </c>
    </row>
    <row r="99">
      <c r="A99" s="2">
        <f>IF(COUNTIF('Sample 20'!$B$2:$B$21,B99)&gt;0,"是","")</f>
        <v/>
      </c>
      <c r="B99" s="2" t="inlineStr">
        <is>
          <t>21390</t>
        </is>
      </c>
      <c r="C99" s="15" t="inlineStr">
        <is>
          <t>Software Developer</t>
        </is>
      </c>
      <c r="D99" s="15">
        <f>IF(E99&gt;='Scoring Rules'!$B$3,"强",IF(E99&gt;='Scoring Rules'!$B$4,"中","弱"))</f>
        <v/>
      </c>
      <c r="E99" s="125">
        <f>MIN(100,H99+IF(I99&gt;=5,'Scoring Rules'!$B$16,IF(I99&gt;=3,'Scoring Rules'!$B$17,IF(I99&gt;=1,'Scoring Rules'!$B$18,'Scoring Rules'!$B$19)))+IF(L99="是",'Scoring Rules'!$B$22,0)+MIN(J99*'Scoring Rules'!$B$23,'Scoring Rules'!$B$24)+IF(M99="是",'Scoring Rules'!$B$25,0)+MIN((IF(K99="",0,LEN(K99)-LEN(SUBSTITUTE(K99,";",""))+1))*'Scoring Rules'!$B$26,'Scoring Rules'!$B$27)+IF(N99="是",'Scoring Rules'!$B$28,0)+IF(O99="是",'Scoring Rules'!$B$29,0)+IF(P99="是",'Scoring Rules'!$B$30,0)+IF(Q99="是",'Scoring Rules'!$B$31,0)+IF(R99="是",'Scoring Rules'!$B$32,0)+IF(S99&gt;=8000,'Scoring Rules'!$B$35,IF(S99&gt;=4000,'Scoring Rules'!$B$36,IF(S99&gt;=2000,'Scoring Rules'!$B$37,'Scoring Rules'!$B$38))))</f>
        <v/>
      </c>
      <c r="F99" s="15" t="inlineStr">
        <is>
          <t>Standard</t>
        </is>
      </c>
      <c r="G99" s="15" t="inlineStr">
        <is>
          <t>Associate</t>
        </is>
      </c>
      <c r="H99" s="15" t="n">
        <v>8</v>
      </c>
      <c r="I99" s="15" t="n">
        <v>4</v>
      </c>
      <c r="J99" s="15" t="n">
        <v>16</v>
      </c>
      <c r="K99" s="15" t="inlineStr">
        <is>
          <t>Scrum</t>
        </is>
      </c>
      <c r="L99" s="15" t="inlineStr">
        <is>
          <t>是</t>
        </is>
      </c>
      <c r="M99" s="15" t="str"/>
      <c r="N99" s="15" t="str"/>
      <c r="O99" s="15" t="str"/>
      <c r="P99" s="15" t="str"/>
      <c r="Q99" s="15" t="str"/>
      <c r="R99" s="15" t="inlineStr">
        <is>
          <t>是</t>
        </is>
      </c>
      <c r="S99" s="15" t="n">
        <v>3893</v>
      </c>
      <c r="T99" s="15" t="inlineStr">
        <is>
          <t>Frontend; Backend/API; Mobile; Data/Database; Embedded/Systems</t>
        </is>
      </c>
      <c r="U99" s="15" t="inlineStr">
        <is>
          <t>Healthcare; Technology; Education/Research; Manufacturing/Automotive</t>
        </is>
      </c>
      <c r="V99" s="15" t="inlineStr">
        <is>
          <t>C:\Workspace\java\scrape_indeed\soft_dav_part_1\1858.html#21737</t>
        </is>
      </c>
    </row>
    <row r="100">
      <c r="A100" s="2">
        <f>IF(COUNTIF('Sample 20'!$B$2:$B$21,B100)&gt;0,"是","")</f>
        <v/>
      </c>
      <c r="B100" s="2" t="inlineStr">
        <is>
          <t>21393</t>
        </is>
      </c>
      <c r="C100" s="15" t="inlineStr">
        <is>
          <t>Software Developer</t>
        </is>
      </c>
      <c r="D100" s="15">
        <f>IF(E100&gt;='Scoring Rules'!$B$3,"强",IF(E100&gt;='Scoring Rules'!$B$4,"中","弱"))</f>
        <v/>
      </c>
      <c r="E100" s="125">
        <f>MIN(100,H100+IF(I100&gt;=5,'Scoring Rules'!$B$16,IF(I100&gt;=3,'Scoring Rules'!$B$17,IF(I100&gt;=1,'Scoring Rules'!$B$18,'Scoring Rules'!$B$19)))+IF(L100="是",'Scoring Rules'!$B$22,0)+MIN(J100*'Scoring Rules'!$B$23,'Scoring Rules'!$B$24)+IF(M100="是",'Scoring Rules'!$B$25,0)+MIN((IF(K100="",0,LEN(K100)-LEN(SUBSTITUTE(K100,";",""))+1))*'Scoring Rules'!$B$26,'Scoring Rules'!$B$27)+IF(N100="是",'Scoring Rules'!$B$28,0)+IF(O100="是",'Scoring Rules'!$B$29,0)+IF(P100="是",'Scoring Rules'!$B$30,0)+IF(Q100="是",'Scoring Rules'!$B$31,0)+IF(R100="是",'Scoring Rules'!$B$32,0)+IF(S100&gt;=8000,'Scoring Rules'!$B$35,IF(S100&gt;=4000,'Scoring Rules'!$B$36,IF(S100&gt;=2000,'Scoring Rules'!$B$37,'Scoring Rules'!$B$38))))</f>
        <v/>
      </c>
      <c r="F100" s="15" t="inlineStr">
        <is>
          <t>Standard</t>
        </is>
      </c>
      <c r="G100" s="15" t="inlineStr">
        <is>
          <t>Unspecified</t>
        </is>
      </c>
      <c r="H100" s="15" t="n">
        <v>2</v>
      </c>
      <c r="I100" s="15" t="n">
        <v>2</v>
      </c>
      <c r="J100" s="15" t="n">
        <v>3</v>
      </c>
      <c r="K100" s="15" t="str"/>
      <c r="L100" s="15" t="inlineStr">
        <is>
          <t>是</t>
        </is>
      </c>
      <c r="M100" s="15" t="str"/>
      <c r="N100" s="15" t="str"/>
      <c r="O100" s="15" t="str"/>
      <c r="P100" s="15" t="str"/>
      <c r="Q100" s="15" t="str"/>
      <c r="R100" s="15" t="str"/>
      <c r="S100" s="15" t="n">
        <v>1326</v>
      </c>
      <c r="T100" s="15" t="inlineStr">
        <is>
          <t>Backend/API; Data/Database; Testing/Automation</t>
        </is>
      </c>
      <c r="U100" s="15" t="inlineStr">
        <is>
          <t>Technology; Education/Research</t>
        </is>
      </c>
      <c r="V100" s="15" t="inlineStr">
        <is>
          <t>C:\Workspace\java\scrape_indeed\soft_dav_part_1\1860.html#21740</t>
        </is>
      </c>
    </row>
    <row r="101">
      <c r="A101" s="2">
        <f>IF(COUNTIF('Sample 20'!$B$2:$B$21,B101)&gt;0,"是","")</f>
        <v/>
      </c>
      <c r="B101" s="2" t="inlineStr">
        <is>
          <t>21395</t>
        </is>
      </c>
      <c r="C101" s="15" t="inlineStr">
        <is>
          <t>Software Developer</t>
        </is>
      </c>
      <c r="D101" s="15">
        <f>IF(E101&gt;='Scoring Rules'!$B$3,"强",IF(E101&gt;='Scoring Rules'!$B$4,"中","弱"))</f>
        <v/>
      </c>
      <c r="E101" s="125">
        <f>MIN(100,H101+IF(I101&gt;=5,'Scoring Rules'!$B$16,IF(I101&gt;=3,'Scoring Rules'!$B$17,IF(I101&gt;=1,'Scoring Rules'!$B$18,'Scoring Rules'!$B$19)))+IF(L101="是",'Scoring Rules'!$B$22,0)+MIN(J101*'Scoring Rules'!$B$23,'Scoring Rules'!$B$24)+IF(M101="是",'Scoring Rules'!$B$25,0)+MIN((IF(K101="",0,LEN(K101)-LEN(SUBSTITUTE(K101,";",""))+1))*'Scoring Rules'!$B$26,'Scoring Rules'!$B$27)+IF(N101="是",'Scoring Rules'!$B$28,0)+IF(O101="是",'Scoring Rules'!$B$29,0)+IF(P101="是",'Scoring Rules'!$B$30,0)+IF(Q101="是",'Scoring Rules'!$B$31,0)+IF(R101="是",'Scoring Rules'!$B$32,0)+IF(S101&gt;=8000,'Scoring Rules'!$B$35,IF(S101&gt;=4000,'Scoring Rules'!$B$36,IF(S101&gt;=2000,'Scoring Rules'!$B$37,'Scoring Rules'!$B$38))))</f>
        <v/>
      </c>
      <c r="F101" s="15" t="inlineStr">
        <is>
          <t>Standard</t>
        </is>
      </c>
      <c r="G101" s="15" t="inlineStr">
        <is>
          <t>Bachelor</t>
        </is>
      </c>
      <c r="H101" s="15" t="n">
        <v>12</v>
      </c>
      <c r="I101" s="15" t="n">
        <v>5</v>
      </c>
      <c r="J101" s="15" t="n">
        <v>20</v>
      </c>
      <c r="K101" s="15" t="str"/>
      <c r="L101" s="15" t="inlineStr">
        <is>
          <t>是</t>
        </is>
      </c>
      <c r="M101" s="15" t="str"/>
      <c r="N101" s="15" t="str"/>
      <c r="O101" s="15" t="str"/>
      <c r="P101" s="15" t="str"/>
      <c r="Q101" s="15" t="str"/>
      <c r="R101" s="15" t="str"/>
      <c r="S101" s="15" t="n">
        <v>3266</v>
      </c>
      <c r="T101" s="15" t="inlineStr">
        <is>
          <t>Frontend; Backend/API; Data/Database; Embedded/Systems</t>
        </is>
      </c>
      <c r="U101" s="15" t="inlineStr">
        <is>
          <t>Healthcare; Technology; Consulting; Education/Research</t>
        </is>
      </c>
      <c r="V101" s="15" t="inlineStr">
        <is>
          <t>C:\Workspace\java\scrape_indeed\soft_dav_part_1\1862.html#21742</t>
        </is>
      </c>
    </row>
    <row r="102">
      <c r="A102" s="2">
        <f>IF(COUNTIF('Sample 20'!$B$2:$B$21,B102)&gt;0,"是","")</f>
        <v/>
      </c>
      <c r="B102" s="2" t="inlineStr">
        <is>
          <t>21396</t>
        </is>
      </c>
      <c r="C102" s="15" t="inlineStr">
        <is>
          <t>Software developer</t>
        </is>
      </c>
      <c r="D102" s="15">
        <f>IF(E102&gt;='Scoring Rules'!$B$3,"强",IF(E102&gt;='Scoring Rules'!$B$4,"中","弱"))</f>
        <v/>
      </c>
      <c r="E102" s="125">
        <f>MIN(100,H102+IF(I102&gt;=5,'Scoring Rules'!$B$16,IF(I102&gt;=3,'Scoring Rules'!$B$17,IF(I102&gt;=1,'Scoring Rules'!$B$18,'Scoring Rules'!$B$19)))+IF(L102="是",'Scoring Rules'!$B$22,0)+MIN(J102*'Scoring Rules'!$B$23,'Scoring Rules'!$B$24)+IF(M102="是",'Scoring Rules'!$B$25,0)+MIN((IF(K102="",0,LEN(K102)-LEN(SUBSTITUTE(K102,";",""))+1))*'Scoring Rules'!$B$26,'Scoring Rules'!$B$27)+IF(N102="是",'Scoring Rules'!$B$28,0)+IF(O102="是",'Scoring Rules'!$B$29,0)+IF(P102="是",'Scoring Rules'!$B$30,0)+IF(Q102="是",'Scoring Rules'!$B$31,0)+IF(R102="是",'Scoring Rules'!$B$32,0)+IF(S102&gt;=8000,'Scoring Rules'!$B$35,IF(S102&gt;=4000,'Scoring Rules'!$B$36,IF(S102&gt;=2000,'Scoring Rules'!$B$37,'Scoring Rules'!$B$38))))</f>
        <v/>
      </c>
      <c r="F102" s="15" t="inlineStr">
        <is>
          <t>Standard</t>
        </is>
      </c>
      <c r="G102" s="15" t="inlineStr">
        <is>
          <t>Master</t>
        </is>
      </c>
      <c r="H102" s="15" t="n">
        <v>16</v>
      </c>
      <c r="I102" s="15" t="n">
        <v>3</v>
      </c>
      <c r="J102" s="15" t="n">
        <v>19</v>
      </c>
      <c r="K102" s="15" t="str"/>
      <c r="L102" s="15" t="inlineStr">
        <is>
          <t>是</t>
        </is>
      </c>
      <c r="M102" s="15" t="str"/>
      <c r="N102" s="15" t="str"/>
      <c r="O102" s="15" t="str"/>
      <c r="P102" s="15" t="str"/>
      <c r="Q102" s="15" t="inlineStr">
        <is>
          <t>是</t>
        </is>
      </c>
      <c r="R102" s="15" t="inlineStr">
        <is>
          <t>是</t>
        </is>
      </c>
      <c r="S102" s="15" t="n">
        <v>4133</v>
      </c>
      <c r="T102" s="15" t="inlineStr">
        <is>
          <t>Frontend; Backend/API; Data/Database; Cloud/DevOps; Testing/Automation</t>
        </is>
      </c>
      <c r="U102" s="15" t="inlineStr">
        <is>
          <t>Healthcare; Technology; Education/Research; Manufacturing/Automotive</t>
        </is>
      </c>
      <c r="V102" s="15" t="inlineStr">
        <is>
          <t>C:\Workspace\java\scrape_indeed\soft_dav_part_1\1863.html#21743</t>
        </is>
      </c>
    </row>
    <row r="103">
      <c r="A103" s="2">
        <f>IF(COUNTIF('Sample 20'!$B$2:$B$21,B103)&gt;0,"是","")</f>
        <v/>
      </c>
      <c r="B103" s="2" t="inlineStr">
        <is>
          <t>21398</t>
        </is>
      </c>
      <c r="C103" s="15" t="inlineStr">
        <is>
          <t>Software Developer</t>
        </is>
      </c>
      <c r="D103" s="15">
        <f>IF(E103&gt;='Scoring Rules'!$B$3,"强",IF(E103&gt;='Scoring Rules'!$B$4,"中","弱"))</f>
        <v/>
      </c>
      <c r="E103" s="125">
        <f>MIN(100,H103+IF(I103&gt;=5,'Scoring Rules'!$B$16,IF(I103&gt;=3,'Scoring Rules'!$B$17,IF(I103&gt;=1,'Scoring Rules'!$B$18,'Scoring Rules'!$B$19)))+IF(L103="是",'Scoring Rules'!$B$22,0)+MIN(J103*'Scoring Rules'!$B$23,'Scoring Rules'!$B$24)+IF(M103="是",'Scoring Rules'!$B$25,0)+MIN((IF(K103="",0,LEN(K103)-LEN(SUBSTITUTE(K103,";",""))+1))*'Scoring Rules'!$B$26,'Scoring Rules'!$B$27)+IF(N103="是",'Scoring Rules'!$B$28,0)+IF(O103="是",'Scoring Rules'!$B$29,0)+IF(P103="是",'Scoring Rules'!$B$30,0)+IF(Q103="是",'Scoring Rules'!$B$31,0)+IF(R103="是",'Scoring Rules'!$B$32,0)+IF(S103&gt;=8000,'Scoring Rules'!$B$35,IF(S103&gt;=4000,'Scoring Rules'!$B$36,IF(S103&gt;=2000,'Scoring Rules'!$B$37,'Scoring Rules'!$B$38))))</f>
        <v/>
      </c>
      <c r="F103" s="15" t="inlineStr">
        <is>
          <t>Standard</t>
        </is>
      </c>
      <c r="G103" s="15" t="inlineStr">
        <is>
          <t>Master</t>
        </is>
      </c>
      <c r="H103" s="15" t="n">
        <v>16</v>
      </c>
      <c r="I103" s="15" t="n">
        <v>3</v>
      </c>
      <c r="J103" s="15" t="n">
        <v>12</v>
      </c>
      <c r="K103" s="15" t="inlineStr">
        <is>
          <t>AWS; Oracle/Java</t>
        </is>
      </c>
      <c r="L103" s="15" t="inlineStr">
        <is>
          <t>是</t>
        </is>
      </c>
      <c r="M103" s="15" t="inlineStr">
        <is>
          <t>是</t>
        </is>
      </c>
      <c r="N103" s="15" t="str"/>
      <c r="O103" s="15" t="str"/>
      <c r="P103" s="15" t="str"/>
      <c r="Q103" s="15" t="str"/>
      <c r="R103" s="15" t="inlineStr">
        <is>
          <t>是</t>
        </is>
      </c>
      <c r="S103" s="15" t="n">
        <v>2935</v>
      </c>
      <c r="T103" s="15" t="inlineStr">
        <is>
          <t>Frontend; Backend/API; Data/Database; Cloud/DevOps; Embedded/Systems; Testing/Automation</t>
        </is>
      </c>
      <c r="U103" s="15" t="inlineStr">
        <is>
          <t>Finance/Banking; Healthcare; Technology</t>
        </is>
      </c>
      <c r="V103" s="15" t="inlineStr">
        <is>
          <t>C:\Workspace\java\scrape_indeed\soft_dav_part_1\1865.html#21745</t>
        </is>
      </c>
    </row>
    <row r="104">
      <c r="A104" s="2">
        <f>IF(COUNTIF('Sample 20'!$B$2:$B$21,B104)&gt;0,"是","")</f>
        <v/>
      </c>
      <c r="B104" s="2" t="inlineStr">
        <is>
          <t>21401</t>
        </is>
      </c>
      <c r="C104" s="15" t="inlineStr">
        <is>
          <t>Software Developer</t>
        </is>
      </c>
      <c r="D104" s="15">
        <f>IF(E104&gt;='Scoring Rules'!$B$3,"强",IF(E104&gt;='Scoring Rules'!$B$4,"中","弱"))</f>
        <v/>
      </c>
      <c r="E104" s="125">
        <f>MIN(100,H104+IF(I104&gt;=5,'Scoring Rules'!$B$16,IF(I104&gt;=3,'Scoring Rules'!$B$17,IF(I104&gt;=1,'Scoring Rules'!$B$18,'Scoring Rules'!$B$19)))+IF(L104="是",'Scoring Rules'!$B$22,0)+MIN(J104*'Scoring Rules'!$B$23,'Scoring Rules'!$B$24)+IF(M104="是",'Scoring Rules'!$B$25,0)+MIN((IF(K104="",0,LEN(K104)-LEN(SUBSTITUTE(K104,";",""))+1))*'Scoring Rules'!$B$26,'Scoring Rules'!$B$27)+IF(N104="是",'Scoring Rules'!$B$28,0)+IF(O104="是",'Scoring Rules'!$B$29,0)+IF(P104="是",'Scoring Rules'!$B$30,0)+IF(Q104="是",'Scoring Rules'!$B$31,0)+IF(R104="是",'Scoring Rules'!$B$32,0)+IF(S104&gt;=8000,'Scoring Rules'!$B$35,IF(S104&gt;=4000,'Scoring Rules'!$B$36,IF(S104&gt;=2000,'Scoring Rules'!$B$37,'Scoring Rules'!$B$38))))</f>
        <v/>
      </c>
      <c r="F104" s="15" t="inlineStr">
        <is>
          <t>Standard</t>
        </is>
      </c>
      <c r="G104" s="15" t="inlineStr">
        <is>
          <t>Bachelor</t>
        </is>
      </c>
      <c r="H104" s="15" t="n">
        <v>12</v>
      </c>
      <c r="I104" s="15" t="n">
        <v>13</v>
      </c>
      <c r="J104" s="15" t="n">
        <v>17</v>
      </c>
      <c r="K104" s="15" t="str"/>
      <c r="L104" s="15" t="inlineStr">
        <is>
          <t>是</t>
        </is>
      </c>
      <c r="M104" s="15" t="str"/>
      <c r="N104" s="15" t="str"/>
      <c r="O104" s="15" t="str"/>
      <c r="P104" s="15" t="inlineStr">
        <is>
          <t>是</t>
        </is>
      </c>
      <c r="Q104" s="15" t="inlineStr">
        <is>
          <t>是</t>
        </is>
      </c>
      <c r="R104" s="15" t="inlineStr">
        <is>
          <t>是</t>
        </is>
      </c>
      <c r="S104" s="15" t="n">
        <v>9321</v>
      </c>
      <c r="T104" s="15" t="inlineStr">
        <is>
          <t>Frontend; Backend/API; Data/Database; Cloud/DevOps</t>
        </is>
      </c>
      <c r="U104" s="15" t="inlineStr">
        <is>
          <t>Finance/Banking; Technology; Consulting; Education/Research</t>
        </is>
      </c>
      <c r="V104" s="15" t="inlineStr">
        <is>
          <t>C:\Workspace\java\scrape_indeed\soft_dav_part_1\1868.html#21748</t>
        </is>
      </c>
    </row>
    <row r="105">
      <c r="A105" s="2">
        <f>IF(COUNTIF('Sample 20'!$B$2:$B$21,B105)&gt;0,"是","")</f>
        <v/>
      </c>
      <c r="B105" s="2" t="inlineStr">
        <is>
          <t>21407</t>
        </is>
      </c>
      <c r="C105" s="15" t="inlineStr">
        <is>
          <t>Software Developer</t>
        </is>
      </c>
      <c r="D105" s="15">
        <f>IF(E105&gt;='Scoring Rules'!$B$3,"强",IF(E105&gt;='Scoring Rules'!$B$4,"中","弱"))</f>
        <v/>
      </c>
      <c r="E105" s="125">
        <f>MIN(100,H105+IF(I105&gt;=5,'Scoring Rules'!$B$16,IF(I105&gt;=3,'Scoring Rules'!$B$17,IF(I105&gt;=1,'Scoring Rules'!$B$18,'Scoring Rules'!$B$19)))+IF(L105="是",'Scoring Rules'!$B$22,0)+MIN(J105*'Scoring Rules'!$B$23,'Scoring Rules'!$B$24)+IF(M105="是",'Scoring Rules'!$B$25,0)+MIN((IF(K105="",0,LEN(K105)-LEN(SUBSTITUTE(K105,";",""))+1))*'Scoring Rules'!$B$26,'Scoring Rules'!$B$27)+IF(N105="是",'Scoring Rules'!$B$28,0)+IF(O105="是",'Scoring Rules'!$B$29,0)+IF(P105="是",'Scoring Rules'!$B$30,0)+IF(Q105="是",'Scoring Rules'!$B$31,0)+IF(R105="是",'Scoring Rules'!$B$32,0)+IF(S105&gt;=8000,'Scoring Rules'!$B$35,IF(S105&gt;=4000,'Scoring Rules'!$B$36,IF(S105&gt;=2000,'Scoring Rules'!$B$37,'Scoring Rules'!$B$38))))</f>
        <v/>
      </c>
      <c r="F105" s="15" t="inlineStr">
        <is>
          <t>Standard</t>
        </is>
      </c>
      <c r="G105" s="15" t="inlineStr">
        <is>
          <t>Unspecified</t>
        </is>
      </c>
      <c r="H105" s="15" t="n">
        <v>2</v>
      </c>
      <c r="I105" s="15" t="n">
        <v>5</v>
      </c>
      <c r="J105" s="15" t="n">
        <v>12</v>
      </c>
      <c r="K105" s="15" t="str"/>
      <c r="L105" s="15" t="inlineStr">
        <is>
          <t>是</t>
        </is>
      </c>
      <c r="M105" s="15" t="str"/>
      <c r="N105" s="15" t="str"/>
      <c r="O105" s="15" t="str"/>
      <c r="P105" s="15" t="str"/>
      <c r="Q105" s="15" t="str"/>
      <c r="R105" s="15" t="str"/>
      <c r="S105" s="15" t="n">
        <v>1660</v>
      </c>
      <c r="T105" s="15" t="inlineStr">
        <is>
          <t>Frontend; Backend/API; Data/Database</t>
        </is>
      </c>
      <c r="U105" s="15" t="inlineStr">
        <is>
          <t>Technology; Education/Research</t>
        </is>
      </c>
      <c r="V105" s="15" t="inlineStr">
        <is>
          <t>C:\Workspace\java\scrape_indeed\soft_dav_part_1\1873.html#21754</t>
        </is>
      </c>
    </row>
    <row r="106">
      <c r="A106" s="2">
        <f>IF(COUNTIF('Sample 20'!$B$2:$B$21,B106)&gt;0,"是","")</f>
        <v/>
      </c>
      <c r="B106" s="2" t="inlineStr">
        <is>
          <t>21419</t>
        </is>
      </c>
      <c r="C106" s="15" t="inlineStr">
        <is>
          <t>Software Developer</t>
        </is>
      </c>
      <c r="D106" s="15">
        <f>IF(E106&gt;='Scoring Rules'!$B$3,"强",IF(E106&gt;='Scoring Rules'!$B$4,"中","弱"))</f>
        <v/>
      </c>
      <c r="E106" s="125">
        <f>MIN(100,H106+IF(I106&gt;=5,'Scoring Rules'!$B$16,IF(I106&gt;=3,'Scoring Rules'!$B$17,IF(I106&gt;=1,'Scoring Rules'!$B$18,'Scoring Rules'!$B$19)))+IF(L106="是",'Scoring Rules'!$B$22,0)+MIN(J106*'Scoring Rules'!$B$23,'Scoring Rules'!$B$24)+IF(M106="是",'Scoring Rules'!$B$25,0)+MIN((IF(K106="",0,LEN(K106)-LEN(SUBSTITUTE(K106,";",""))+1))*'Scoring Rules'!$B$26,'Scoring Rules'!$B$27)+IF(N106="是",'Scoring Rules'!$B$28,0)+IF(O106="是",'Scoring Rules'!$B$29,0)+IF(P106="是",'Scoring Rules'!$B$30,0)+IF(Q106="是",'Scoring Rules'!$B$31,0)+IF(R106="是",'Scoring Rules'!$B$32,0)+IF(S106&gt;=8000,'Scoring Rules'!$B$35,IF(S106&gt;=4000,'Scoring Rules'!$B$36,IF(S106&gt;=2000,'Scoring Rules'!$B$37,'Scoring Rules'!$B$38))))</f>
        <v/>
      </c>
      <c r="F106" s="15" t="inlineStr">
        <is>
          <t>Standard</t>
        </is>
      </c>
      <c r="G106" s="15" t="inlineStr">
        <is>
          <t>Unspecified</t>
        </is>
      </c>
      <c r="H106" s="15" t="n">
        <v>2</v>
      </c>
      <c r="I106" s="15" t="n">
        <v>4</v>
      </c>
      <c r="J106" s="15" t="n">
        <v>12</v>
      </c>
      <c r="K106" s="15" t="str"/>
      <c r="L106" s="15" t="inlineStr">
        <is>
          <t>是</t>
        </is>
      </c>
      <c r="M106" s="15" t="str"/>
      <c r="N106" s="15" t="str"/>
      <c r="O106" s="15" t="str"/>
      <c r="P106" s="15" t="str"/>
      <c r="Q106" s="15" t="str"/>
      <c r="R106" s="15" t="inlineStr">
        <is>
          <t>是</t>
        </is>
      </c>
      <c r="S106" s="15" t="n">
        <v>1567</v>
      </c>
      <c r="T106" s="15" t="inlineStr">
        <is>
          <t>Frontend; Backend/API; Data/Database; Embedded/Systems</t>
        </is>
      </c>
      <c r="U106" s="15" t="inlineStr">
        <is>
          <t>Government/Defense; Technology; Telecom; Education/Research</t>
        </is>
      </c>
      <c r="V106" s="15" t="inlineStr">
        <is>
          <t>C:\Workspace\java\scrape_indeed\soft_dav_part_1\1884.html#21766</t>
        </is>
      </c>
    </row>
    <row r="107">
      <c r="A107" s="2">
        <f>IF(COUNTIF('Sample 20'!$B$2:$B$21,B107)&gt;0,"是","")</f>
        <v/>
      </c>
      <c r="B107" s="2" t="inlineStr">
        <is>
          <t>21436</t>
        </is>
      </c>
      <c r="C107" s="15" t="inlineStr">
        <is>
          <t>SOFTWARE DEVELOPER</t>
        </is>
      </c>
      <c r="D107" s="15">
        <f>IF(E107&gt;='Scoring Rules'!$B$3,"强",IF(E107&gt;='Scoring Rules'!$B$4,"中","弱"))</f>
        <v/>
      </c>
      <c r="E107" s="125">
        <f>MIN(100,H107+IF(I107&gt;=5,'Scoring Rules'!$B$16,IF(I107&gt;=3,'Scoring Rules'!$B$17,IF(I107&gt;=1,'Scoring Rules'!$B$18,'Scoring Rules'!$B$19)))+IF(L107="是",'Scoring Rules'!$B$22,0)+MIN(J107*'Scoring Rules'!$B$23,'Scoring Rules'!$B$24)+IF(M107="是",'Scoring Rules'!$B$25,0)+MIN((IF(K107="",0,LEN(K107)-LEN(SUBSTITUTE(K107,";",""))+1))*'Scoring Rules'!$B$26,'Scoring Rules'!$B$27)+IF(N107="是",'Scoring Rules'!$B$28,0)+IF(O107="是",'Scoring Rules'!$B$29,0)+IF(P107="是",'Scoring Rules'!$B$30,0)+IF(Q107="是",'Scoring Rules'!$B$31,0)+IF(R107="是",'Scoring Rules'!$B$32,0)+IF(S107&gt;=8000,'Scoring Rules'!$B$35,IF(S107&gt;=4000,'Scoring Rules'!$B$36,IF(S107&gt;=2000,'Scoring Rules'!$B$37,'Scoring Rules'!$B$38))))</f>
        <v/>
      </c>
      <c r="F107" s="15" t="inlineStr">
        <is>
          <t>Standard</t>
        </is>
      </c>
      <c r="G107" s="15" t="inlineStr">
        <is>
          <t>Unspecified</t>
        </is>
      </c>
      <c r="H107" s="15" t="n">
        <v>2</v>
      </c>
      <c r="I107" s="15" t="n">
        <v>2</v>
      </c>
      <c r="J107" s="15" t="n">
        <v>18</v>
      </c>
      <c r="K107" s="15" t="str"/>
      <c r="L107" s="15" t="inlineStr">
        <is>
          <t>是</t>
        </is>
      </c>
      <c r="M107" s="15" t="str"/>
      <c r="N107" s="15" t="str"/>
      <c r="O107" s="15" t="str"/>
      <c r="P107" s="15" t="inlineStr">
        <is>
          <t>是</t>
        </is>
      </c>
      <c r="Q107" s="15" t="inlineStr">
        <is>
          <t>是</t>
        </is>
      </c>
      <c r="R107" s="15" t="inlineStr">
        <is>
          <t>是</t>
        </is>
      </c>
      <c r="S107" s="15" t="n">
        <v>2348</v>
      </c>
      <c r="T107" s="15" t="inlineStr">
        <is>
          <t>Frontend; Backend/API; Data/Database; Cloud/DevOps; Embedded/Systems; Testing/Automation</t>
        </is>
      </c>
      <c r="U107" s="15" t="inlineStr">
        <is>
          <t>Technology; Education/Research</t>
        </is>
      </c>
      <c r="V107" s="15" t="inlineStr">
        <is>
          <t>C:\Workspace\java\scrape_indeed\soft_dav_part_1\19.html#21783</t>
        </is>
      </c>
    </row>
    <row r="108">
      <c r="A108" s="2">
        <f>IF(COUNTIF('Sample 20'!$B$2:$B$21,B108)&gt;0,"是","")</f>
        <v/>
      </c>
      <c r="B108" s="2" t="inlineStr">
        <is>
          <t>21441</t>
        </is>
      </c>
      <c r="C108" s="15" t="inlineStr">
        <is>
          <t>Software Developer</t>
        </is>
      </c>
      <c r="D108" s="15">
        <f>IF(E108&gt;='Scoring Rules'!$B$3,"强",IF(E108&gt;='Scoring Rules'!$B$4,"中","弱"))</f>
        <v/>
      </c>
      <c r="E108" s="125">
        <f>MIN(100,H108+IF(I108&gt;=5,'Scoring Rules'!$B$16,IF(I108&gt;=3,'Scoring Rules'!$B$17,IF(I108&gt;=1,'Scoring Rules'!$B$18,'Scoring Rules'!$B$19)))+IF(L108="是",'Scoring Rules'!$B$22,0)+MIN(J108*'Scoring Rules'!$B$23,'Scoring Rules'!$B$24)+IF(M108="是",'Scoring Rules'!$B$25,0)+MIN((IF(K108="",0,LEN(K108)-LEN(SUBSTITUTE(K108,";",""))+1))*'Scoring Rules'!$B$26,'Scoring Rules'!$B$27)+IF(N108="是",'Scoring Rules'!$B$28,0)+IF(O108="是",'Scoring Rules'!$B$29,0)+IF(P108="是",'Scoring Rules'!$B$30,0)+IF(Q108="是",'Scoring Rules'!$B$31,0)+IF(R108="是",'Scoring Rules'!$B$32,0)+IF(S108&gt;=8000,'Scoring Rules'!$B$35,IF(S108&gt;=4000,'Scoring Rules'!$B$36,IF(S108&gt;=2000,'Scoring Rules'!$B$37,'Scoring Rules'!$B$38))))</f>
        <v/>
      </c>
      <c r="F108" s="15" t="inlineStr">
        <is>
          <t>Standard</t>
        </is>
      </c>
      <c r="G108" s="15" t="inlineStr">
        <is>
          <t>Bachelor</t>
        </is>
      </c>
      <c r="H108" s="15" t="n">
        <v>12</v>
      </c>
      <c r="I108" s="15" t="n">
        <v>9</v>
      </c>
      <c r="J108" s="15" t="n">
        <v>22</v>
      </c>
      <c r="K108" s="15" t="str"/>
      <c r="L108" s="15" t="inlineStr">
        <is>
          <t>是</t>
        </is>
      </c>
      <c r="M108" s="15" t="str"/>
      <c r="N108" s="15" t="str"/>
      <c r="O108" s="15" t="str"/>
      <c r="P108" s="15" t="str"/>
      <c r="Q108" s="15" t="inlineStr">
        <is>
          <t>是</t>
        </is>
      </c>
      <c r="R108" s="15" t="inlineStr">
        <is>
          <t>是</t>
        </is>
      </c>
      <c r="S108" s="15" t="n">
        <v>6108</v>
      </c>
      <c r="T108" s="15" t="inlineStr">
        <is>
          <t>Frontend; Backend/API; Mobile; Data/Database; Cloud/DevOps; Testing/Automation</t>
        </is>
      </c>
      <c r="U108" s="15" t="inlineStr">
        <is>
          <t>Finance/Banking; Technology; Education/Research; Manufacturing/Automotive</t>
        </is>
      </c>
      <c r="V108" s="15" t="inlineStr">
        <is>
          <t>C:\Workspace\java\scrape_indeed\soft_dav_part_1\1903.html#21788</t>
        </is>
      </c>
    </row>
    <row r="109">
      <c r="A109" s="2">
        <f>IF(COUNTIF('Sample 20'!$B$2:$B$21,B109)&gt;0,"是","")</f>
        <v/>
      </c>
      <c r="B109" s="2" t="inlineStr">
        <is>
          <t>21445</t>
        </is>
      </c>
      <c r="C109" s="15" t="inlineStr">
        <is>
          <t>Software Developer</t>
        </is>
      </c>
      <c r="D109" s="15">
        <f>IF(E109&gt;='Scoring Rules'!$B$3,"强",IF(E109&gt;='Scoring Rules'!$B$4,"中","弱"))</f>
        <v/>
      </c>
      <c r="E109" s="125">
        <f>MIN(100,H109+IF(I109&gt;=5,'Scoring Rules'!$B$16,IF(I109&gt;=3,'Scoring Rules'!$B$17,IF(I109&gt;=1,'Scoring Rules'!$B$18,'Scoring Rules'!$B$19)))+IF(L109="是",'Scoring Rules'!$B$22,0)+MIN(J109*'Scoring Rules'!$B$23,'Scoring Rules'!$B$24)+IF(M109="是",'Scoring Rules'!$B$25,0)+MIN((IF(K109="",0,LEN(K109)-LEN(SUBSTITUTE(K109,";",""))+1))*'Scoring Rules'!$B$26,'Scoring Rules'!$B$27)+IF(N109="是",'Scoring Rules'!$B$28,0)+IF(O109="是",'Scoring Rules'!$B$29,0)+IF(P109="是",'Scoring Rules'!$B$30,0)+IF(Q109="是",'Scoring Rules'!$B$31,0)+IF(R109="是",'Scoring Rules'!$B$32,0)+IF(S109&gt;=8000,'Scoring Rules'!$B$35,IF(S109&gt;=4000,'Scoring Rules'!$B$36,IF(S109&gt;=2000,'Scoring Rules'!$B$37,'Scoring Rules'!$B$38))))</f>
        <v/>
      </c>
      <c r="F109" s="15" t="inlineStr">
        <is>
          <t>Standard</t>
        </is>
      </c>
      <c r="G109" s="15" t="inlineStr">
        <is>
          <t>Bachelor</t>
        </is>
      </c>
      <c r="H109" s="15" t="n">
        <v>12</v>
      </c>
      <c r="I109" s="15" t="n">
        <v>2</v>
      </c>
      <c r="J109" s="15" t="n">
        <v>10</v>
      </c>
      <c r="K109" s="15" t="str"/>
      <c r="L109" s="15" t="inlineStr">
        <is>
          <t>是</t>
        </is>
      </c>
      <c r="M109" s="15" t="str"/>
      <c r="N109" s="15" t="str"/>
      <c r="O109" s="15" t="str"/>
      <c r="P109" s="15" t="str"/>
      <c r="Q109" s="15" t="str"/>
      <c r="R109" s="15" t="inlineStr">
        <is>
          <t>是</t>
        </is>
      </c>
      <c r="S109" s="15" t="n">
        <v>2962</v>
      </c>
      <c r="T109" s="15" t="inlineStr">
        <is>
          <t>Frontend; Backend/API; Data/Database; Testing/Automation</t>
        </is>
      </c>
      <c r="U109" s="15" t="inlineStr">
        <is>
          <t>Finance/Banking; Technology; Education/Research; Retail/E-commerce</t>
        </is>
      </c>
      <c r="V109" s="15" t="inlineStr">
        <is>
          <t>C:\Workspace\java\scrape_indeed\soft_dav_part_1\1907.html#21792</t>
        </is>
      </c>
    </row>
    <row r="110">
      <c r="A110" s="2">
        <f>IF(COUNTIF('Sample 20'!$B$2:$B$21,B110)&gt;0,"是","")</f>
        <v/>
      </c>
      <c r="B110" s="2" t="inlineStr">
        <is>
          <t>21447</t>
        </is>
      </c>
      <c r="C110" s="15" t="inlineStr">
        <is>
          <t>Software Developer</t>
        </is>
      </c>
      <c r="D110" s="15">
        <f>IF(E110&gt;='Scoring Rules'!$B$3,"强",IF(E110&gt;='Scoring Rules'!$B$4,"中","弱"))</f>
        <v/>
      </c>
      <c r="E110" s="125">
        <f>MIN(100,H110+IF(I110&gt;=5,'Scoring Rules'!$B$16,IF(I110&gt;=3,'Scoring Rules'!$B$17,IF(I110&gt;=1,'Scoring Rules'!$B$18,'Scoring Rules'!$B$19)))+IF(L110="是",'Scoring Rules'!$B$22,0)+MIN(J110*'Scoring Rules'!$B$23,'Scoring Rules'!$B$24)+IF(M110="是",'Scoring Rules'!$B$25,0)+MIN((IF(K110="",0,LEN(K110)-LEN(SUBSTITUTE(K110,";",""))+1))*'Scoring Rules'!$B$26,'Scoring Rules'!$B$27)+IF(N110="是",'Scoring Rules'!$B$28,0)+IF(O110="是",'Scoring Rules'!$B$29,0)+IF(P110="是",'Scoring Rules'!$B$30,0)+IF(Q110="是",'Scoring Rules'!$B$31,0)+IF(R110="是",'Scoring Rules'!$B$32,0)+IF(S110&gt;=8000,'Scoring Rules'!$B$35,IF(S110&gt;=4000,'Scoring Rules'!$B$36,IF(S110&gt;=2000,'Scoring Rules'!$B$37,'Scoring Rules'!$B$38))))</f>
        <v/>
      </c>
      <c r="F110" s="15" t="inlineStr">
        <is>
          <t>Standard</t>
        </is>
      </c>
      <c r="G110" s="15" t="inlineStr">
        <is>
          <t>Bachelor</t>
        </is>
      </c>
      <c r="H110" s="15" t="n">
        <v>12</v>
      </c>
      <c r="I110" s="15" t="n">
        <v>5</v>
      </c>
      <c r="J110" s="15" t="n">
        <v>7</v>
      </c>
      <c r="K110" s="15" t="str"/>
      <c r="L110" s="15" t="inlineStr">
        <is>
          <t>是</t>
        </is>
      </c>
      <c r="M110" s="15" t="str"/>
      <c r="N110" s="15" t="str"/>
      <c r="O110" s="15" t="inlineStr">
        <is>
          <t>是</t>
        </is>
      </c>
      <c r="P110" s="15" t="str"/>
      <c r="Q110" s="15" t="inlineStr">
        <is>
          <t>是</t>
        </is>
      </c>
      <c r="R110" s="15" t="str"/>
      <c r="S110" s="15" t="n">
        <v>3890</v>
      </c>
      <c r="T110" s="15" t="inlineStr">
        <is>
          <t>Frontend; Data/Database</t>
        </is>
      </c>
      <c r="U110" s="15" t="inlineStr">
        <is>
          <t>Finance/Banking; Healthcare; Government/Defense; Technology; Education/Research; Manufacturing/Automotive</t>
        </is>
      </c>
      <c r="V110" s="15" t="inlineStr">
        <is>
          <t>C:\Workspace\java\scrape_indeed\soft_dav_part_1\1909.html#21794</t>
        </is>
      </c>
    </row>
    <row r="111">
      <c r="A111" s="2">
        <f>IF(COUNTIF('Sample 20'!$B$2:$B$21,B111)&gt;0,"是","")</f>
        <v/>
      </c>
      <c r="B111" s="2" t="inlineStr">
        <is>
          <t>21464</t>
        </is>
      </c>
      <c r="C111" s="15" t="inlineStr">
        <is>
          <t>Software Developer</t>
        </is>
      </c>
      <c r="D111" s="15">
        <f>IF(E111&gt;='Scoring Rules'!$B$3,"强",IF(E111&gt;='Scoring Rules'!$B$4,"中","弱"))</f>
        <v/>
      </c>
      <c r="E111" s="125">
        <f>MIN(100,H111+IF(I111&gt;=5,'Scoring Rules'!$B$16,IF(I111&gt;=3,'Scoring Rules'!$B$17,IF(I111&gt;=1,'Scoring Rules'!$B$18,'Scoring Rules'!$B$19)))+IF(L111="是",'Scoring Rules'!$B$22,0)+MIN(J111*'Scoring Rules'!$B$23,'Scoring Rules'!$B$24)+IF(M111="是",'Scoring Rules'!$B$25,0)+MIN((IF(K111="",0,LEN(K111)-LEN(SUBSTITUTE(K111,";",""))+1))*'Scoring Rules'!$B$26,'Scoring Rules'!$B$27)+IF(N111="是",'Scoring Rules'!$B$28,0)+IF(O111="是",'Scoring Rules'!$B$29,0)+IF(P111="是",'Scoring Rules'!$B$30,0)+IF(Q111="是",'Scoring Rules'!$B$31,0)+IF(R111="是",'Scoring Rules'!$B$32,0)+IF(S111&gt;=8000,'Scoring Rules'!$B$35,IF(S111&gt;=4000,'Scoring Rules'!$B$36,IF(S111&gt;=2000,'Scoring Rules'!$B$37,'Scoring Rules'!$B$38))))</f>
        <v/>
      </c>
      <c r="F111" s="15" t="inlineStr">
        <is>
          <t>Standard</t>
        </is>
      </c>
      <c r="G111" s="15" t="inlineStr">
        <is>
          <t>Unspecified</t>
        </is>
      </c>
      <c r="H111" s="15" t="n">
        <v>2</v>
      </c>
      <c r="I111" s="15" t="n">
        <v>2</v>
      </c>
      <c r="J111" s="15" t="n">
        <v>3</v>
      </c>
      <c r="K111" s="15" t="str"/>
      <c r="L111" s="15" t="inlineStr">
        <is>
          <t>是</t>
        </is>
      </c>
      <c r="M111" s="15" t="str"/>
      <c r="N111" s="15" t="str"/>
      <c r="O111" s="15" t="str"/>
      <c r="P111" s="15" t="str"/>
      <c r="Q111" s="15" t="inlineStr">
        <is>
          <t>是</t>
        </is>
      </c>
      <c r="R111" s="15" t="inlineStr">
        <is>
          <t>是</t>
        </is>
      </c>
      <c r="S111" s="15" t="n">
        <v>3048</v>
      </c>
      <c r="T111" s="15" t="inlineStr">
        <is>
          <t>Data/Database; Embedded/Systems</t>
        </is>
      </c>
      <c r="U111" s="15" t="inlineStr">
        <is>
          <t>Finance/Banking; Technology; Consulting; Education/Research; Retail/E-commerce</t>
        </is>
      </c>
      <c r="V111" s="15" t="inlineStr">
        <is>
          <t>C:\Workspace\java\scrape_indeed\soft_dav_part_1\1924.html#21811</t>
        </is>
      </c>
    </row>
    <row r="112">
      <c r="A112" s="2">
        <f>IF(COUNTIF('Sample 20'!$B$2:$B$21,B112)&gt;0,"是","")</f>
        <v/>
      </c>
      <c r="B112" s="2" t="inlineStr">
        <is>
          <t>21478</t>
        </is>
      </c>
      <c r="C112" s="15" t="inlineStr">
        <is>
          <t>Software Developer</t>
        </is>
      </c>
      <c r="D112" s="15">
        <f>IF(E112&gt;='Scoring Rules'!$B$3,"强",IF(E112&gt;='Scoring Rules'!$B$4,"中","弱"))</f>
        <v/>
      </c>
      <c r="E112" s="125">
        <f>MIN(100,H112+IF(I112&gt;=5,'Scoring Rules'!$B$16,IF(I112&gt;=3,'Scoring Rules'!$B$17,IF(I112&gt;=1,'Scoring Rules'!$B$18,'Scoring Rules'!$B$19)))+IF(L112="是",'Scoring Rules'!$B$22,0)+MIN(J112*'Scoring Rules'!$B$23,'Scoring Rules'!$B$24)+IF(M112="是",'Scoring Rules'!$B$25,0)+MIN((IF(K112="",0,LEN(K112)-LEN(SUBSTITUTE(K112,";",""))+1))*'Scoring Rules'!$B$26,'Scoring Rules'!$B$27)+IF(N112="是",'Scoring Rules'!$B$28,0)+IF(O112="是",'Scoring Rules'!$B$29,0)+IF(P112="是",'Scoring Rules'!$B$30,0)+IF(Q112="是",'Scoring Rules'!$B$31,0)+IF(R112="是",'Scoring Rules'!$B$32,0)+IF(S112&gt;=8000,'Scoring Rules'!$B$35,IF(S112&gt;=4000,'Scoring Rules'!$B$36,IF(S112&gt;=2000,'Scoring Rules'!$B$37,'Scoring Rules'!$B$38))))</f>
        <v/>
      </c>
      <c r="F112" s="15" t="inlineStr">
        <is>
          <t>Standard</t>
        </is>
      </c>
      <c r="G112" s="15" t="inlineStr">
        <is>
          <t>Unspecified</t>
        </is>
      </c>
      <c r="H112" s="15" t="n">
        <v>2</v>
      </c>
      <c r="I112" s="15" t="n">
        <v>3</v>
      </c>
      <c r="J112" s="15" t="n">
        <v>14</v>
      </c>
      <c r="K112" s="15" t="str"/>
      <c r="L112" s="15" t="inlineStr">
        <is>
          <t>是</t>
        </is>
      </c>
      <c r="M112" s="15" t="str"/>
      <c r="N112" s="15" t="str"/>
      <c r="O112" s="15" t="str"/>
      <c r="P112" s="15" t="str"/>
      <c r="Q112" s="15" t="inlineStr">
        <is>
          <t>是</t>
        </is>
      </c>
      <c r="R112" s="15" t="inlineStr">
        <is>
          <t>是</t>
        </is>
      </c>
      <c r="S112" s="15" t="n">
        <v>2574</v>
      </c>
      <c r="T112" s="15" t="inlineStr">
        <is>
          <t>Frontend; Backend/API; Data/Database</t>
        </is>
      </c>
      <c r="U112" s="15" t="inlineStr">
        <is>
          <t>Finance/Banking; Technology; Consulting; Education/Research</t>
        </is>
      </c>
      <c r="V112" s="15" t="inlineStr">
        <is>
          <t>C:\Workspace\java\scrape_indeed\soft_dav_part_1\1937.html#21825</t>
        </is>
      </c>
    </row>
    <row r="113">
      <c r="A113" s="2">
        <f>IF(COUNTIF('Sample 20'!$B$2:$B$21,B113)&gt;0,"是","")</f>
        <v/>
      </c>
      <c r="B113" s="2" t="inlineStr">
        <is>
          <t>21503</t>
        </is>
      </c>
      <c r="C113" s="15" t="inlineStr">
        <is>
          <t>SOFTWARE DEVELOPER</t>
        </is>
      </c>
      <c r="D113" s="15">
        <f>IF(E113&gt;='Scoring Rules'!$B$3,"强",IF(E113&gt;='Scoring Rules'!$B$4,"中","弱"))</f>
        <v/>
      </c>
      <c r="E113" s="125">
        <f>MIN(100,H113+IF(I113&gt;=5,'Scoring Rules'!$B$16,IF(I113&gt;=3,'Scoring Rules'!$B$17,IF(I113&gt;=1,'Scoring Rules'!$B$18,'Scoring Rules'!$B$19)))+IF(L113="是",'Scoring Rules'!$B$22,0)+MIN(J113*'Scoring Rules'!$B$23,'Scoring Rules'!$B$24)+IF(M113="是",'Scoring Rules'!$B$25,0)+MIN((IF(K113="",0,LEN(K113)-LEN(SUBSTITUTE(K113,";",""))+1))*'Scoring Rules'!$B$26,'Scoring Rules'!$B$27)+IF(N113="是",'Scoring Rules'!$B$28,0)+IF(O113="是",'Scoring Rules'!$B$29,0)+IF(P113="是",'Scoring Rules'!$B$30,0)+IF(Q113="是",'Scoring Rules'!$B$31,0)+IF(R113="是",'Scoring Rules'!$B$32,0)+IF(S113&gt;=8000,'Scoring Rules'!$B$35,IF(S113&gt;=4000,'Scoring Rules'!$B$36,IF(S113&gt;=2000,'Scoring Rules'!$B$37,'Scoring Rules'!$B$38))))</f>
        <v/>
      </c>
      <c r="F113" s="15" t="inlineStr">
        <is>
          <t>Standard</t>
        </is>
      </c>
      <c r="G113" s="15" t="inlineStr">
        <is>
          <t>Bachelor</t>
        </is>
      </c>
      <c r="H113" s="15" t="n">
        <v>12</v>
      </c>
      <c r="I113" s="15" t="n">
        <v>1</v>
      </c>
      <c r="J113" s="15" t="n">
        <v>14</v>
      </c>
      <c r="K113" s="15" t="str"/>
      <c r="L113" s="15" t="inlineStr">
        <is>
          <t>是</t>
        </is>
      </c>
      <c r="M113" s="15" t="str"/>
      <c r="N113" s="15" t="str"/>
      <c r="O113" s="15" t="inlineStr">
        <is>
          <t>是</t>
        </is>
      </c>
      <c r="P113" s="15" t="inlineStr">
        <is>
          <t>是</t>
        </is>
      </c>
      <c r="Q113" s="15" t="str"/>
      <c r="R113" s="15" t="inlineStr">
        <is>
          <t>是</t>
        </is>
      </c>
      <c r="S113" s="15" t="n">
        <v>1628</v>
      </c>
      <c r="T113" s="15" t="inlineStr">
        <is>
          <t>Frontend; Backend/API; Data/Database; Embedded/Systems; Testing/Automation</t>
        </is>
      </c>
      <c r="U113" s="15" t="inlineStr">
        <is>
          <t>Technology; Education/Research</t>
        </is>
      </c>
      <c r="V113" s="15" t="inlineStr">
        <is>
          <t>C:\Workspace\java\scrape_indeed\soft_dav_part_1\196.html#21850</t>
        </is>
      </c>
    </row>
    <row r="114">
      <c r="A114" s="2">
        <f>IF(COUNTIF('Sample 20'!$B$2:$B$21,B114)&gt;0,"是","")</f>
        <v/>
      </c>
      <c r="B114" s="2" t="inlineStr">
        <is>
          <t>21504</t>
        </is>
      </c>
      <c r="C114" s="15" t="inlineStr">
        <is>
          <t>Software Developer</t>
        </is>
      </c>
      <c r="D114" s="15">
        <f>IF(E114&gt;='Scoring Rules'!$B$3,"强",IF(E114&gt;='Scoring Rules'!$B$4,"中","弱"))</f>
        <v/>
      </c>
      <c r="E114" s="125">
        <f>MIN(100,H114+IF(I114&gt;=5,'Scoring Rules'!$B$16,IF(I114&gt;=3,'Scoring Rules'!$B$17,IF(I114&gt;=1,'Scoring Rules'!$B$18,'Scoring Rules'!$B$19)))+IF(L114="是",'Scoring Rules'!$B$22,0)+MIN(J114*'Scoring Rules'!$B$23,'Scoring Rules'!$B$24)+IF(M114="是",'Scoring Rules'!$B$25,0)+MIN((IF(K114="",0,LEN(K114)-LEN(SUBSTITUTE(K114,";",""))+1))*'Scoring Rules'!$B$26,'Scoring Rules'!$B$27)+IF(N114="是",'Scoring Rules'!$B$28,0)+IF(O114="是",'Scoring Rules'!$B$29,0)+IF(P114="是",'Scoring Rules'!$B$30,0)+IF(Q114="是",'Scoring Rules'!$B$31,0)+IF(R114="是",'Scoring Rules'!$B$32,0)+IF(S114&gt;=8000,'Scoring Rules'!$B$35,IF(S114&gt;=4000,'Scoring Rules'!$B$36,IF(S114&gt;=2000,'Scoring Rules'!$B$37,'Scoring Rules'!$B$38))))</f>
        <v/>
      </c>
      <c r="F114" s="15" t="inlineStr">
        <is>
          <t>Standard</t>
        </is>
      </c>
      <c r="G114" s="15" t="inlineStr">
        <is>
          <t>Unspecified</t>
        </is>
      </c>
      <c r="H114" s="15" t="n">
        <v>0</v>
      </c>
      <c r="I114" s="15" t="n">
        <v>7</v>
      </c>
      <c r="J114" s="15" t="n">
        <v>31</v>
      </c>
      <c r="K114" s="15" t="str"/>
      <c r="L114" s="15" t="str"/>
      <c r="M114" s="15" t="str"/>
      <c r="N114" s="15" t="str"/>
      <c r="O114" s="15" t="str"/>
      <c r="P114" s="15" t="str"/>
      <c r="Q114" s="15" t="str"/>
      <c r="R114" s="15" t="inlineStr">
        <is>
          <t>是</t>
        </is>
      </c>
      <c r="S114" s="15" t="n">
        <v>14793</v>
      </c>
      <c r="T114" s="15" t="inlineStr">
        <is>
          <t>Frontend; Backend/API; Mobile; Data/Database; Cloud/DevOps; Testing/Automation</t>
        </is>
      </c>
      <c r="U114" s="15" t="inlineStr">
        <is>
          <t>Finance/Banking; Technology</t>
        </is>
      </c>
      <c r="V114" s="15" t="inlineStr">
        <is>
          <t>C:\Workspace\java\scrape_indeed\soft_dav_part_1\1960.html#21851</t>
        </is>
      </c>
    </row>
    <row r="115">
      <c r="A115" s="2">
        <f>IF(COUNTIF('Sample 20'!$B$2:$B$21,B115)&gt;0,"是","")</f>
        <v/>
      </c>
      <c r="B115" s="2" t="inlineStr">
        <is>
          <t>21511</t>
        </is>
      </c>
      <c r="C115" s="15" t="inlineStr">
        <is>
          <t>Software Developer</t>
        </is>
      </c>
      <c r="D115" s="15">
        <f>IF(E115&gt;='Scoring Rules'!$B$3,"强",IF(E115&gt;='Scoring Rules'!$B$4,"中","弱"))</f>
        <v/>
      </c>
      <c r="E115" s="125">
        <f>MIN(100,H115+IF(I115&gt;=5,'Scoring Rules'!$B$16,IF(I115&gt;=3,'Scoring Rules'!$B$17,IF(I115&gt;=1,'Scoring Rules'!$B$18,'Scoring Rules'!$B$19)))+IF(L115="是",'Scoring Rules'!$B$22,0)+MIN(J115*'Scoring Rules'!$B$23,'Scoring Rules'!$B$24)+IF(M115="是",'Scoring Rules'!$B$25,0)+MIN((IF(K115="",0,LEN(K115)-LEN(SUBSTITUTE(K115,";",""))+1))*'Scoring Rules'!$B$26,'Scoring Rules'!$B$27)+IF(N115="是",'Scoring Rules'!$B$28,0)+IF(O115="是",'Scoring Rules'!$B$29,0)+IF(P115="是",'Scoring Rules'!$B$30,0)+IF(Q115="是",'Scoring Rules'!$B$31,0)+IF(R115="是",'Scoring Rules'!$B$32,0)+IF(S115&gt;=8000,'Scoring Rules'!$B$35,IF(S115&gt;=4000,'Scoring Rules'!$B$36,IF(S115&gt;=2000,'Scoring Rules'!$B$37,'Scoring Rules'!$B$38))))</f>
        <v/>
      </c>
      <c r="F115" s="15" t="inlineStr">
        <is>
          <t>Standard</t>
        </is>
      </c>
      <c r="G115" s="15" t="inlineStr">
        <is>
          <t>Master</t>
        </is>
      </c>
      <c r="H115" s="15" t="n">
        <v>16</v>
      </c>
      <c r="I115" s="15" t="n">
        <v>2</v>
      </c>
      <c r="J115" s="15" t="n">
        <v>8</v>
      </c>
      <c r="K115" s="15" t="str"/>
      <c r="L115" s="15" t="inlineStr">
        <is>
          <t>是</t>
        </is>
      </c>
      <c r="M115" s="15" t="inlineStr">
        <is>
          <t>是</t>
        </is>
      </c>
      <c r="N115" s="15" t="str"/>
      <c r="O115" s="15" t="str"/>
      <c r="P115" s="15" t="str"/>
      <c r="Q115" s="15" t="str"/>
      <c r="R115" s="15" t="str"/>
      <c r="S115" s="15" t="n">
        <v>1295</v>
      </c>
      <c r="T115" s="15" t="inlineStr">
        <is>
          <t>Frontend; Backend/API; Data/Database</t>
        </is>
      </c>
      <c r="U115" s="15" t="inlineStr">
        <is>
          <t>Technology; Education/Research; Retail/E-commerce</t>
        </is>
      </c>
      <c r="V115" s="15" t="inlineStr">
        <is>
          <t>C:\Workspace\java\scrape_indeed\soft_dav_part_1\1967.html#21858</t>
        </is>
      </c>
    </row>
    <row r="116">
      <c r="A116" s="2">
        <f>IF(COUNTIF('Sample 20'!$B$2:$B$21,B116)&gt;0,"是","")</f>
        <v/>
      </c>
      <c r="B116" s="2" t="inlineStr">
        <is>
          <t>21516</t>
        </is>
      </c>
      <c r="C116" s="15" t="inlineStr">
        <is>
          <t>Software Developer</t>
        </is>
      </c>
      <c r="D116" s="15">
        <f>IF(E116&gt;='Scoring Rules'!$B$3,"强",IF(E116&gt;='Scoring Rules'!$B$4,"中","弱"))</f>
        <v/>
      </c>
      <c r="E116" s="125">
        <f>MIN(100,H116+IF(I116&gt;=5,'Scoring Rules'!$B$16,IF(I116&gt;=3,'Scoring Rules'!$B$17,IF(I116&gt;=1,'Scoring Rules'!$B$18,'Scoring Rules'!$B$19)))+IF(L116="是",'Scoring Rules'!$B$22,0)+MIN(J116*'Scoring Rules'!$B$23,'Scoring Rules'!$B$24)+IF(M116="是",'Scoring Rules'!$B$25,0)+MIN((IF(K116="",0,LEN(K116)-LEN(SUBSTITUTE(K116,";",""))+1))*'Scoring Rules'!$B$26,'Scoring Rules'!$B$27)+IF(N116="是",'Scoring Rules'!$B$28,0)+IF(O116="是",'Scoring Rules'!$B$29,0)+IF(P116="是",'Scoring Rules'!$B$30,0)+IF(Q116="是",'Scoring Rules'!$B$31,0)+IF(R116="是",'Scoring Rules'!$B$32,0)+IF(S116&gt;=8000,'Scoring Rules'!$B$35,IF(S116&gt;=4000,'Scoring Rules'!$B$36,IF(S116&gt;=2000,'Scoring Rules'!$B$37,'Scoring Rules'!$B$38))))</f>
        <v/>
      </c>
      <c r="F116" s="15" t="inlineStr">
        <is>
          <t>Standard</t>
        </is>
      </c>
      <c r="G116" s="15" t="inlineStr">
        <is>
          <t>Master</t>
        </is>
      </c>
      <c r="H116" s="15" t="n">
        <v>16</v>
      </c>
      <c r="I116" s="15" t="n">
        <v>7</v>
      </c>
      <c r="J116" s="15" t="n">
        <v>19</v>
      </c>
      <c r="K116" s="15" t="str"/>
      <c r="L116" s="15" t="inlineStr">
        <is>
          <t>是</t>
        </is>
      </c>
      <c r="M116" s="15" t="str"/>
      <c r="N116" s="15" t="str"/>
      <c r="O116" s="15" t="str"/>
      <c r="P116" s="15" t="str"/>
      <c r="Q116" s="15" t="str"/>
      <c r="R116" s="15" t="inlineStr">
        <is>
          <t>是</t>
        </is>
      </c>
      <c r="S116" s="15" t="n">
        <v>2715</v>
      </c>
      <c r="T116" s="15" t="inlineStr">
        <is>
          <t>Frontend; Backend/API; Data/Database; Embedded/Systems</t>
        </is>
      </c>
      <c r="U116" s="15" t="inlineStr">
        <is>
          <t>Technology; Education/Research</t>
        </is>
      </c>
      <c r="V116" s="15" t="inlineStr">
        <is>
          <t>C:\Workspace\java\scrape_indeed\soft_dav_part_1\1972.html#21864</t>
        </is>
      </c>
    </row>
    <row r="117">
      <c r="A117" s="2">
        <f>IF(COUNTIF('Sample 20'!$B$2:$B$21,B117)&gt;0,"是","")</f>
        <v/>
      </c>
      <c r="B117" s="2" t="inlineStr">
        <is>
          <t>21540</t>
        </is>
      </c>
      <c r="C117" s="15" t="inlineStr">
        <is>
          <t>SOFTWARE DEVELOPER</t>
        </is>
      </c>
      <c r="D117" s="15">
        <f>IF(E117&gt;='Scoring Rules'!$B$3,"强",IF(E117&gt;='Scoring Rules'!$B$4,"中","弱"))</f>
        <v/>
      </c>
      <c r="E117" s="125">
        <f>MIN(100,H117+IF(I117&gt;=5,'Scoring Rules'!$B$16,IF(I117&gt;=3,'Scoring Rules'!$B$17,IF(I117&gt;=1,'Scoring Rules'!$B$18,'Scoring Rules'!$B$19)))+IF(L117="是",'Scoring Rules'!$B$22,0)+MIN(J117*'Scoring Rules'!$B$23,'Scoring Rules'!$B$24)+IF(M117="是",'Scoring Rules'!$B$25,0)+MIN((IF(K117="",0,LEN(K117)-LEN(SUBSTITUTE(K117,";",""))+1))*'Scoring Rules'!$B$26,'Scoring Rules'!$B$27)+IF(N117="是",'Scoring Rules'!$B$28,0)+IF(O117="是",'Scoring Rules'!$B$29,0)+IF(P117="是",'Scoring Rules'!$B$30,0)+IF(Q117="是",'Scoring Rules'!$B$31,0)+IF(R117="是",'Scoring Rules'!$B$32,0)+IF(S117&gt;=8000,'Scoring Rules'!$B$35,IF(S117&gt;=4000,'Scoring Rules'!$B$36,IF(S117&gt;=2000,'Scoring Rules'!$B$37,'Scoring Rules'!$B$38))))</f>
        <v/>
      </c>
      <c r="F117" s="15" t="inlineStr">
        <is>
          <t>Standard</t>
        </is>
      </c>
      <c r="G117" s="15" t="inlineStr">
        <is>
          <t>Bachelor</t>
        </is>
      </c>
      <c r="H117" s="15" t="n">
        <v>12</v>
      </c>
      <c r="I117" s="15" t="n">
        <v>4</v>
      </c>
      <c r="J117" s="15" t="n">
        <v>17</v>
      </c>
      <c r="K117" s="15" t="str"/>
      <c r="L117" s="15" t="inlineStr">
        <is>
          <t>是</t>
        </is>
      </c>
      <c r="M117" s="15" t="str"/>
      <c r="N117" s="15" t="str"/>
      <c r="O117" s="15" t="str"/>
      <c r="P117" s="15" t="inlineStr">
        <is>
          <t>是</t>
        </is>
      </c>
      <c r="Q117" s="15" t="inlineStr">
        <is>
          <t>是</t>
        </is>
      </c>
      <c r="R117" s="15" t="inlineStr">
        <is>
          <t>是</t>
        </is>
      </c>
      <c r="S117" s="15" t="n">
        <v>3314</v>
      </c>
      <c r="T117" s="15" t="inlineStr">
        <is>
          <t>Frontend; Backend/API; Mobile; Data/Database; Cloud/DevOps; Testing/Automation</t>
        </is>
      </c>
      <c r="U117" s="15" t="inlineStr">
        <is>
          <t>Technology; Education/Research</t>
        </is>
      </c>
      <c r="V117" s="15" t="inlineStr">
        <is>
          <t>C:\Workspace\java\scrape_indeed\soft_dav_part_1\1994.html#21888</t>
        </is>
      </c>
    </row>
    <row r="118">
      <c r="A118" s="2">
        <f>IF(COUNTIF('Sample 20'!$B$2:$B$21,B118)&gt;0,"是","")</f>
        <v/>
      </c>
      <c r="B118" s="2" t="inlineStr">
        <is>
          <t>21546</t>
        </is>
      </c>
      <c r="C118" s="15" t="inlineStr">
        <is>
          <t>Software Developer</t>
        </is>
      </c>
      <c r="D118" s="15">
        <f>IF(E118&gt;='Scoring Rules'!$B$3,"强",IF(E118&gt;='Scoring Rules'!$B$4,"中","弱"))</f>
        <v/>
      </c>
      <c r="E118" s="125">
        <f>MIN(100,H118+IF(I118&gt;=5,'Scoring Rules'!$B$16,IF(I118&gt;=3,'Scoring Rules'!$B$17,IF(I118&gt;=1,'Scoring Rules'!$B$18,'Scoring Rules'!$B$19)))+IF(L118="是",'Scoring Rules'!$B$22,0)+MIN(J118*'Scoring Rules'!$B$23,'Scoring Rules'!$B$24)+IF(M118="是",'Scoring Rules'!$B$25,0)+MIN((IF(K118="",0,LEN(K118)-LEN(SUBSTITUTE(K118,";",""))+1))*'Scoring Rules'!$B$26,'Scoring Rules'!$B$27)+IF(N118="是",'Scoring Rules'!$B$28,0)+IF(O118="是",'Scoring Rules'!$B$29,0)+IF(P118="是",'Scoring Rules'!$B$30,0)+IF(Q118="是",'Scoring Rules'!$B$31,0)+IF(R118="是",'Scoring Rules'!$B$32,0)+IF(S118&gt;=8000,'Scoring Rules'!$B$35,IF(S118&gt;=4000,'Scoring Rules'!$B$36,IF(S118&gt;=2000,'Scoring Rules'!$B$37,'Scoring Rules'!$B$38))))</f>
        <v/>
      </c>
      <c r="F118" s="15" t="inlineStr">
        <is>
          <t>Standard</t>
        </is>
      </c>
      <c r="G118" s="15" t="inlineStr">
        <is>
          <t>Bachelor</t>
        </is>
      </c>
      <c r="H118" s="15" t="n">
        <v>12</v>
      </c>
      <c r="I118" s="15" t="n">
        <v>2</v>
      </c>
      <c r="J118" s="15" t="n">
        <v>23</v>
      </c>
      <c r="K118" s="15" t="str"/>
      <c r="L118" s="15" t="inlineStr">
        <is>
          <t>是</t>
        </is>
      </c>
      <c r="M118" s="15" t="str"/>
      <c r="N118" s="15" t="str"/>
      <c r="O118" s="15" t="str"/>
      <c r="P118" s="15" t="inlineStr">
        <is>
          <t>是</t>
        </is>
      </c>
      <c r="Q118" s="15" t="inlineStr">
        <is>
          <t>是</t>
        </is>
      </c>
      <c r="R118" s="15" t="inlineStr">
        <is>
          <t>是</t>
        </is>
      </c>
      <c r="S118" s="15" t="n">
        <v>2542</v>
      </c>
      <c r="T118" s="15" t="inlineStr">
        <is>
          <t>Frontend; Backend/API; Data/Database; Cloud/DevOps; Testing/Automation</t>
        </is>
      </c>
      <c r="U118" s="15" t="inlineStr">
        <is>
          <t>Technology; Education/Research</t>
        </is>
      </c>
      <c r="V118" s="15" t="inlineStr">
        <is>
          <t>C:\Workspace\java\scrape_indeed\soft_dav_part_1\2.html#21894</t>
        </is>
      </c>
    </row>
    <row r="119">
      <c r="A119" s="2">
        <f>IF(COUNTIF('Sample 20'!$B$2:$B$21,B119)&gt;0,"是","")</f>
        <v/>
      </c>
      <c r="B119" s="2" t="inlineStr">
        <is>
          <t>21547</t>
        </is>
      </c>
      <c r="C119" s="15" t="inlineStr">
        <is>
          <t>Software Developer</t>
        </is>
      </c>
      <c r="D119" s="15">
        <f>IF(E119&gt;='Scoring Rules'!$B$3,"强",IF(E119&gt;='Scoring Rules'!$B$4,"中","弱"))</f>
        <v/>
      </c>
      <c r="E119" s="125">
        <f>MIN(100,H119+IF(I119&gt;=5,'Scoring Rules'!$B$16,IF(I119&gt;=3,'Scoring Rules'!$B$17,IF(I119&gt;=1,'Scoring Rules'!$B$18,'Scoring Rules'!$B$19)))+IF(L119="是",'Scoring Rules'!$B$22,0)+MIN(J119*'Scoring Rules'!$B$23,'Scoring Rules'!$B$24)+IF(M119="是",'Scoring Rules'!$B$25,0)+MIN((IF(K119="",0,LEN(K119)-LEN(SUBSTITUTE(K119,";",""))+1))*'Scoring Rules'!$B$26,'Scoring Rules'!$B$27)+IF(N119="是",'Scoring Rules'!$B$28,0)+IF(O119="是",'Scoring Rules'!$B$29,0)+IF(P119="是",'Scoring Rules'!$B$30,0)+IF(Q119="是",'Scoring Rules'!$B$31,0)+IF(R119="是",'Scoring Rules'!$B$32,0)+IF(S119&gt;=8000,'Scoring Rules'!$B$35,IF(S119&gt;=4000,'Scoring Rules'!$B$36,IF(S119&gt;=2000,'Scoring Rules'!$B$37,'Scoring Rules'!$B$38))))</f>
        <v/>
      </c>
      <c r="F119" s="15" t="inlineStr">
        <is>
          <t>Standard</t>
        </is>
      </c>
      <c r="G119" s="15" t="inlineStr">
        <is>
          <t>Unspecified</t>
        </is>
      </c>
      <c r="H119" s="15" t="n">
        <v>0</v>
      </c>
      <c r="I119" s="15" t="n">
        <v>1</v>
      </c>
      <c r="J119" s="15" t="n">
        <v>17</v>
      </c>
      <c r="K119" s="15" t="str"/>
      <c r="L119" s="15" t="str"/>
      <c r="M119" s="15" t="str"/>
      <c r="N119" s="15" t="str"/>
      <c r="O119" s="15" t="inlineStr">
        <is>
          <t>是</t>
        </is>
      </c>
      <c r="P119" s="15" t="str"/>
      <c r="Q119" s="15" t="str"/>
      <c r="R119" s="15" t="inlineStr">
        <is>
          <t>是</t>
        </is>
      </c>
      <c r="S119" s="15" t="n">
        <v>1966</v>
      </c>
      <c r="T119" s="15" t="inlineStr">
        <is>
          <t>Frontend; Backend/API; Data/Database; Cloud/DevOps</t>
        </is>
      </c>
      <c r="U119" s="15" t="inlineStr">
        <is>
          <t>Technology; Education/Research</t>
        </is>
      </c>
      <c r="V119" s="15" t="inlineStr">
        <is>
          <t>C:\Workspace\java\scrape_indeed\soft_dav_part_1\20.html#21895</t>
        </is>
      </c>
    </row>
    <row r="120">
      <c r="A120" s="2">
        <f>IF(COUNTIF('Sample 20'!$B$2:$B$21,B120)&gt;0,"是","")</f>
        <v/>
      </c>
      <c r="B120" s="2" t="inlineStr">
        <is>
          <t>21560</t>
        </is>
      </c>
      <c r="C120" s="15" t="inlineStr">
        <is>
          <t>Software Developer</t>
        </is>
      </c>
      <c r="D120" s="15">
        <f>IF(E120&gt;='Scoring Rules'!$B$3,"强",IF(E120&gt;='Scoring Rules'!$B$4,"中","弱"))</f>
        <v/>
      </c>
      <c r="E120" s="125">
        <f>MIN(100,H120+IF(I120&gt;=5,'Scoring Rules'!$B$16,IF(I120&gt;=3,'Scoring Rules'!$B$17,IF(I120&gt;=1,'Scoring Rules'!$B$18,'Scoring Rules'!$B$19)))+IF(L120="是",'Scoring Rules'!$B$22,0)+MIN(J120*'Scoring Rules'!$B$23,'Scoring Rules'!$B$24)+IF(M120="是",'Scoring Rules'!$B$25,0)+MIN((IF(K120="",0,LEN(K120)-LEN(SUBSTITUTE(K120,";",""))+1))*'Scoring Rules'!$B$26,'Scoring Rules'!$B$27)+IF(N120="是",'Scoring Rules'!$B$28,0)+IF(O120="是",'Scoring Rules'!$B$29,0)+IF(P120="是",'Scoring Rules'!$B$30,0)+IF(Q120="是",'Scoring Rules'!$B$31,0)+IF(R120="是",'Scoring Rules'!$B$32,0)+IF(S120&gt;=8000,'Scoring Rules'!$B$35,IF(S120&gt;=4000,'Scoring Rules'!$B$36,IF(S120&gt;=2000,'Scoring Rules'!$B$37,'Scoring Rules'!$B$38))))</f>
        <v/>
      </c>
      <c r="F120" s="15" t="inlineStr">
        <is>
          <t>Standard</t>
        </is>
      </c>
      <c r="G120" s="15" t="inlineStr">
        <is>
          <t>Bachelor</t>
        </is>
      </c>
      <c r="H120" s="15" t="n">
        <v>12</v>
      </c>
      <c r="I120" s="15" t="n">
        <v>7</v>
      </c>
      <c r="J120" s="15" t="n">
        <v>18</v>
      </c>
      <c r="K120" s="15" t="str"/>
      <c r="L120" s="15" t="str"/>
      <c r="M120" s="15" t="str"/>
      <c r="N120" s="15" t="str"/>
      <c r="O120" s="15" t="inlineStr">
        <is>
          <t>是</t>
        </is>
      </c>
      <c r="P120" s="15" t="str"/>
      <c r="Q120" s="15" t="inlineStr">
        <is>
          <t>是</t>
        </is>
      </c>
      <c r="R120" s="15" t="str"/>
      <c r="S120" s="15" t="n">
        <v>8795</v>
      </c>
      <c r="T120" s="15" t="inlineStr">
        <is>
          <t>Frontend; Backend/API; Data/Database; Testing/Automation</t>
        </is>
      </c>
      <c r="U120" s="15" t="inlineStr">
        <is>
          <t>Healthcare; Government/Defense; Technology; Education/Research</t>
        </is>
      </c>
      <c r="V120" s="15" t="inlineStr">
        <is>
          <t>C:\Workspace\java\scrape_indeed\soft_dav_part_1\2012.html#21910</t>
        </is>
      </c>
    </row>
    <row r="121">
      <c r="A121" s="2">
        <f>IF(COUNTIF('Sample 20'!$B$2:$B$21,B121)&gt;0,"是","")</f>
        <v/>
      </c>
      <c r="B121" s="2" t="inlineStr">
        <is>
          <t>21565</t>
        </is>
      </c>
      <c r="C121" s="15" t="inlineStr">
        <is>
          <t>SOFTWARE DEVELOPER</t>
        </is>
      </c>
      <c r="D121" s="15">
        <f>IF(E121&gt;='Scoring Rules'!$B$3,"强",IF(E121&gt;='Scoring Rules'!$B$4,"中","弱"))</f>
        <v/>
      </c>
      <c r="E121" s="125">
        <f>MIN(100,H121+IF(I121&gt;=5,'Scoring Rules'!$B$16,IF(I121&gt;=3,'Scoring Rules'!$B$17,IF(I121&gt;=1,'Scoring Rules'!$B$18,'Scoring Rules'!$B$19)))+IF(L121="是",'Scoring Rules'!$B$22,0)+MIN(J121*'Scoring Rules'!$B$23,'Scoring Rules'!$B$24)+IF(M121="是",'Scoring Rules'!$B$25,0)+MIN((IF(K121="",0,LEN(K121)-LEN(SUBSTITUTE(K121,";",""))+1))*'Scoring Rules'!$B$26,'Scoring Rules'!$B$27)+IF(N121="是",'Scoring Rules'!$B$28,0)+IF(O121="是",'Scoring Rules'!$B$29,0)+IF(P121="是",'Scoring Rules'!$B$30,0)+IF(Q121="是",'Scoring Rules'!$B$31,0)+IF(R121="是",'Scoring Rules'!$B$32,0)+IF(S121&gt;=8000,'Scoring Rules'!$B$35,IF(S121&gt;=4000,'Scoring Rules'!$B$36,IF(S121&gt;=2000,'Scoring Rules'!$B$37,'Scoring Rules'!$B$38))))</f>
        <v/>
      </c>
      <c r="F121" s="15" t="inlineStr">
        <is>
          <t>Standard</t>
        </is>
      </c>
      <c r="G121" s="15" t="inlineStr">
        <is>
          <t>Associate</t>
        </is>
      </c>
      <c r="H121" s="15" t="n">
        <v>8</v>
      </c>
      <c r="I121" s="15" t="n">
        <v>7</v>
      </c>
      <c r="J121" s="15" t="n">
        <v>6</v>
      </c>
      <c r="K121" s="15" t="str"/>
      <c r="L121" s="15" t="inlineStr">
        <is>
          <t>是</t>
        </is>
      </c>
      <c r="M121" s="15" t="str"/>
      <c r="N121" s="15" t="str"/>
      <c r="O121" s="15" t="str"/>
      <c r="P121" s="15" t="str"/>
      <c r="Q121" s="15" t="str"/>
      <c r="R121" s="15" t="inlineStr">
        <is>
          <t>是</t>
        </is>
      </c>
      <c r="S121" s="15" t="n">
        <v>4436</v>
      </c>
      <c r="T121" s="15" t="inlineStr">
        <is>
          <t>Frontend; Backend/API; Data/Database; Testing/Automation</t>
        </is>
      </c>
      <c r="U121" s="15" t="inlineStr">
        <is>
          <t>Finance/Banking; Technology; Consulting; Education/Research</t>
        </is>
      </c>
      <c r="V121" s="15" t="inlineStr">
        <is>
          <t>C:\Workspace\java\scrape_indeed\soft_dav_part_1\2017.html#21915</t>
        </is>
      </c>
    </row>
    <row r="122">
      <c r="A122" s="2">
        <f>IF(COUNTIF('Sample 20'!$B$2:$B$21,B122)&gt;0,"是","")</f>
        <v/>
      </c>
      <c r="B122" s="2" t="inlineStr">
        <is>
          <t>21571</t>
        </is>
      </c>
      <c r="C122" s="15" t="inlineStr">
        <is>
          <t>Software Developer</t>
        </is>
      </c>
      <c r="D122" s="15">
        <f>IF(E122&gt;='Scoring Rules'!$B$3,"强",IF(E122&gt;='Scoring Rules'!$B$4,"中","弱"))</f>
        <v/>
      </c>
      <c r="E122" s="125">
        <f>MIN(100,H122+IF(I122&gt;=5,'Scoring Rules'!$B$16,IF(I122&gt;=3,'Scoring Rules'!$B$17,IF(I122&gt;=1,'Scoring Rules'!$B$18,'Scoring Rules'!$B$19)))+IF(L122="是",'Scoring Rules'!$B$22,0)+MIN(J122*'Scoring Rules'!$B$23,'Scoring Rules'!$B$24)+IF(M122="是",'Scoring Rules'!$B$25,0)+MIN((IF(K122="",0,LEN(K122)-LEN(SUBSTITUTE(K122,";",""))+1))*'Scoring Rules'!$B$26,'Scoring Rules'!$B$27)+IF(N122="是",'Scoring Rules'!$B$28,0)+IF(O122="是",'Scoring Rules'!$B$29,0)+IF(P122="是",'Scoring Rules'!$B$30,0)+IF(Q122="是",'Scoring Rules'!$B$31,0)+IF(R122="是",'Scoring Rules'!$B$32,0)+IF(S122&gt;=8000,'Scoring Rules'!$B$35,IF(S122&gt;=4000,'Scoring Rules'!$B$36,IF(S122&gt;=2000,'Scoring Rules'!$B$37,'Scoring Rules'!$B$38))))</f>
        <v/>
      </c>
      <c r="F122" s="15" t="inlineStr">
        <is>
          <t>Standard</t>
        </is>
      </c>
      <c r="G122" s="15" t="inlineStr">
        <is>
          <t>Master</t>
        </is>
      </c>
      <c r="H122" s="15" t="n">
        <v>16</v>
      </c>
      <c r="I122" s="15" t="n">
        <v>2</v>
      </c>
      <c r="J122" s="15" t="n">
        <v>13</v>
      </c>
      <c r="K122" s="15" t="str"/>
      <c r="L122" s="15" t="inlineStr">
        <is>
          <t>是</t>
        </is>
      </c>
      <c r="M122" s="15" t="inlineStr">
        <is>
          <t>是</t>
        </is>
      </c>
      <c r="N122" s="15" t="str"/>
      <c r="O122" s="15" t="inlineStr">
        <is>
          <t>是</t>
        </is>
      </c>
      <c r="P122" s="15" t="inlineStr">
        <is>
          <t>是</t>
        </is>
      </c>
      <c r="Q122" s="15" t="inlineStr">
        <is>
          <t>是</t>
        </is>
      </c>
      <c r="R122" s="15" t="str"/>
      <c r="S122" s="15" t="n">
        <v>4218</v>
      </c>
      <c r="T122" s="15" t="inlineStr">
        <is>
          <t>Backend/API; Data/Database; Embedded/Systems; Testing/Automation</t>
        </is>
      </c>
      <c r="U122" s="15" t="inlineStr">
        <is>
          <t>Finance/Banking; Healthcare; Technology; Consulting; Education/Research</t>
        </is>
      </c>
      <c r="V122" s="15" t="inlineStr">
        <is>
          <t>C:\Workspace\java\scrape_indeed\soft_dav_part_1\2022.html#21921</t>
        </is>
      </c>
    </row>
    <row r="123">
      <c r="A123" s="2">
        <f>IF(COUNTIF('Sample 20'!$B$2:$B$21,B123)&gt;0,"是","")</f>
        <v/>
      </c>
      <c r="B123" s="2" t="inlineStr">
        <is>
          <t>21579</t>
        </is>
      </c>
      <c r="C123" s="15" t="inlineStr">
        <is>
          <t>Software Developer</t>
        </is>
      </c>
      <c r="D123" s="15">
        <f>IF(E123&gt;='Scoring Rules'!$B$3,"强",IF(E123&gt;='Scoring Rules'!$B$4,"中","弱"))</f>
        <v/>
      </c>
      <c r="E123" s="125">
        <f>MIN(100,H123+IF(I123&gt;=5,'Scoring Rules'!$B$16,IF(I123&gt;=3,'Scoring Rules'!$B$17,IF(I123&gt;=1,'Scoring Rules'!$B$18,'Scoring Rules'!$B$19)))+IF(L123="是",'Scoring Rules'!$B$22,0)+MIN(J123*'Scoring Rules'!$B$23,'Scoring Rules'!$B$24)+IF(M123="是",'Scoring Rules'!$B$25,0)+MIN((IF(K123="",0,LEN(K123)-LEN(SUBSTITUTE(K123,";",""))+1))*'Scoring Rules'!$B$26,'Scoring Rules'!$B$27)+IF(N123="是",'Scoring Rules'!$B$28,0)+IF(O123="是",'Scoring Rules'!$B$29,0)+IF(P123="是",'Scoring Rules'!$B$30,0)+IF(Q123="是",'Scoring Rules'!$B$31,0)+IF(R123="是",'Scoring Rules'!$B$32,0)+IF(S123&gt;=8000,'Scoring Rules'!$B$35,IF(S123&gt;=4000,'Scoring Rules'!$B$36,IF(S123&gt;=2000,'Scoring Rules'!$B$37,'Scoring Rules'!$B$38))))</f>
        <v/>
      </c>
      <c r="F123" s="15" t="inlineStr">
        <is>
          <t>Standard</t>
        </is>
      </c>
      <c r="G123" s="15" t="inlineStr">
        <is>
          <t>Bachelor</t>
        </is>
      </c>
      <c r="H123" s="15" t="n">
        <v>12</v>
      </c>
      <c r="I123" s="15" t="n">
        <v>1</v>
      </c>
      <c r="J123" s="15" t="n">
        <v>11</v>
      </c>
      <c r="K123" s="15" t="str"/>
      <c r="L123" s="15" t="inlineStr">
        <is>
          <t>是</t>
        </is>
      </c>
      <c r="M123" s="15" t="inlineStr">
        <is>
          <t>是</t>
        </is>
      </c>
      <c r="N123" s="15" t="str"/>
      <c r="O123" s="15" t="str"/>
      <c r="P123" s="15" t="str"/>
      <c r="Q123" s="15" t="inlineStr">
        <is>
          <t>是</t>
        </is>
      </c>
      <c r="R123" s="15" t="inlineStr">
        <is>
          <t>是</t>
        </is>
      </c>
      <c r="S123" s="15" t="n">
        <v>2363</v>
      </c>
      <c r="T123" s="15" t="inlineStr">
        <is>
          <t>Frontend; Backend/API; Data/Database; Cloud/DevOps</t>
        </is>
      </c>
      <c r="U123" s="15" t="inlineStr">
        <is>
          <t>Finance/Banking; Technology; Education/Research</t>
        </is>
      </c>
      <c r="V123" s="15" t="inlineStr">
        <is>
          <t>C:\Workspace\java\scrape_indeed\soft_dav_part_1\203.html#21929</t>
        </is>
      </c>
    </row>
    <row r="124">
      <c r="A124" s="2">
        <f>IF(COUNTIF('Sample 20'!$B$2:$B$21,B124)&gt;0,"是","")</f>
        <v/>
      </c>
      <c r="B124" s="2" t="inlineStr">
        <is>
          <t>21587</t>
        </is>
      </c>
      <c r="C124" s="15" t="inlineStr">
        <is>
          <t>Software Developer</t>
        </is>
      </c>
      <c r="D124" s="15">
        <f>IF(E124&gt;='Scoring Rules'!$B$3,"强",IF(E124&gt;='Scoring Rules'!$B$4,"中","弱"))</f>
        <v/>
      </c>
      <c r="E124" s="125">
        <f>MIN(100,H124+IF(I124&gt;=5,'Scoring Rules'!$B$16,IF(I124&gt;=3,'Scoring Rules'!$B$17,IF(I124&gt;=1,'Scoring Rules'!$B$18,'Scoring Rules'!$B$19)))+IF(L124="是",'Scoring Rules'!$B$22,0)+MIN(J124*'Scoring Rules'!$B$23,'Scoring Rules'!$B$24)+IF(M124="是",'Scoring Rules'!$B$25,0)+MIN((IF(K124="",0,LEN(K124)-LEN(SUBSTITUTE(K124,";",""))+1))*'Scoring Rules'!$B$26,'Scoring Rules'!$B$27)+IF(N124="是",'Scoring Rules'!$B$28,0)+IF(O124="是",'Scoring Rules'!$B$29,0)+IF(P124="是",'Scoring Rules'!$B$30,0)+IF(Q124="是",'Scoring Rules'!$B$31,0)+IF(R124="是",'Scoring Rules'!$B$32,0)+IF(S124&gt;=8000,'Scoring Rules'!$B$35,IF(S124&gt;=4000,'Scoring Rules'!$B$36,IF(S124&gt;=2000,'Scoring Rules'!$B$37,'Scoring Rules'!$B$38))))</f>
        <v/>
      </c>
      <c r="F124" s="15" t="inlineStr">
        <is>
          <t>Standard</t>
        </is>
      </c>
      <c r="G124" s="15" t="inlineStr">
        <is>
          <t>Master</t>
        </is>
      </c>
      <c r="H124" s="15" t="n">
        <v>16</v>
      </c>
      <c r="I124" s="15" t="n">
        <v>4</v>
      </c>
      <c r="J124" s="15" t="n">
        <v>14</v>
      </c>
      <c r="K124" s="15" t="str"/>
      <c r="L124" s="15" t="inlineStr">
        <is>
          <t>是</t>
        </is>
      </c>
      <c r="M124" s="15" t="str"/>
      <c r="N124" s="15" t="str"/>
      <c r="O124" s="15" t="str"/>
      <c r="P124" s="15" t="str"/>
      <c r="Q124" s="15" t="inlineStr">
        <is>
          <t>是</t>
        </is>
      </c>
      <c r="R124" s="15" t="inlineStr">
        <is>
          <t>是</t>
        </is>
      </c>
      <c r="S124" s="15" t="n">
        <v>3190</v>
      </c>
      <c r="T124" s="15" t="inlineStr">
        <is>
          <t>Frontend; Backend/API; Data/Database; Cloud/DevOps; Embedded/Systems; Machine Learning</t>
        </is>
      </c>
      <c r="U124" s="15" t="inlineStr">
        <is>
          <t>Technology; Education/Research; Retail/E-commerce</t>
        </is>
      </c>
      <c r="V124" s="15" t="inlineStr">
        <is>
          <t>C:\Workspace\java\scrape_indeed\soft_dav_part_1\2037.html#21937</t>
        </is>
      </c>
    </row>
    <row r="125">
      <c r="A125" s="2">
        <f>IF(COUNTIF('Sample 20'!$B$2:$B$21,B125)&gt;0,"是","")</f>
        <v/>
      </c>
      <c r="B125" s="2" t="inlineStr">
        <is>
          <t>21592</t>
        </is>
      </c>
      <c r="C125" s="15" t="inlineStr">
        <is>
          <t>Software Developer</t>
        </is>
      </c>
      <c r="D125" s="15">
        <f>IF(E125&gt;='Scoring Rules'!$B$3,"强",IF(E125&gt;='Scoring Rules'!$B$4,"中","弱"))</f>
        <v/>
      </c>
      <c r="E125" s="125">
        <f>MIN(100,H125+IF(I125&gt;=5,'Scoring Rules'!$B$16,IF(I125&gt;=3,'Scoring Rules'!$B$17,IF(I125&gt;=1,'Scoring Rules'!$B$18,'Scoring Rules'!$B$19)))+IF(L125="是",'Scoring Rules'!$B$22,0)+MIN(J125*'Scoring Rules'!$B$23,'Scoring Rules'!$B$24)+IF(M125="是",'Scoring Rules'!$B$25,0)+MIN((IF(K125="",0,LEN(K125)-LEN(SUBSTITUTE(K125,";",""))+1))*'Scoring Rules'!$B$26,'Scoring Rules'!$B$27)+IF(N125="是",'Scoring Rules'!$B$28,0)+IF(O125="是",'Scoring Rules'!$B$29,0)+IF(P125="是",'Scoring Rules'!$B$30,0)+IF(Q125="是",'Scoring Rules'!$B$31,0)+IF(R125="是",'Scoring Rules'!$B$32,0)+IF(S125&gt;=8000,'Scoring Rules'!$B$35,IF(S125&gt;=4000,'Scoring Rules'!$B$36,IF(S125&gt;=2000,'Scoring Rules'!$B$37,'Scoring Rules'!$B$38))))</f>
        <v/>
      </c>
      <c r="F125" s="15" t="inlineStr">
        <is>
          <t>Standard</t>
        </is>
      </c>
      <c r="G125" s="15" t="inlineStr">
        <is>
          <t>Master</t>
        </is>
      </c>
      <c r="H125" s="15" t="n">
        <v>16</v>
      </c>
      <c r="I125" s="15" t="n">
        <v>3</v>
      </c>
      <c r="J125" s="15" t="n">
        <v>7</v>
      </c>
      <c r="K125" s="15" t="str"/>
      <c r="L125" s="15" t="str"/>
      <c r="M125" s="15" t="str"/>
      <c r="N125" s="15" t="str"/>
      <c r="O125" s="15" t="inlineStr">
        <is>
          <t>是</t>
        </is>
      </c>
      <c r="P125" s="15" t="str"/>
      <c r="Q125" s="15" t="str"/>
      <c r="R125" s="15" t="inlineStr">
        <is>
          <t>是</t>
        </is>
      </c>
      <c r="S125" s="15" t="n">
        <v>2792</v>
      </c>
      <c r="T125" s="15" t="inlineStr">
        <is>
          <t>Backend/API; Data/Database</t>
        </is>
      </c>
      <c r="U125" s="15" t="inlineStr">
        <is>
          <t>Government/Defense; Technology; Education/Research</t>
        </is>
      </c>
      <c r="V125" s="15" t="inlineStr">
        <is>
          <t>C:\Workspace\java\scrape_indeed\soft_dav_part_1\2041.html#21942</t>
        </is>
      </c>
    </row>
    <row r="126">
      <c r="A126" s="2">
        <f>IF(COUNTIF('Sample 20'!$B$2:$B$21,B126)&gt;0,"是","")</f>
        <v/>
      </c>
      <c r="B126" s="2" t="inlineStr">
        <is>
          <t>21616</t>
        </is>
      </c>
      <c r="C126" s="15" t="inlineStr">
        <is>
          <t>Software Developer</t>
        </is>
      </c>
      <c r="D126" s="15">
        <f>IF(E126&gt;='Scoring Rules'!$B$3,"强",IF(E126&gt;='Scoring Rules'!$B$4,"中","弱"))</f>
        <v/>
      </c>
      <c r="E126" s="125">
        <f>MIN(100,H126+IF(I126&gt;=5,'Scoring Rules'!$B$16,IF(I126&gt;=3,'Scoring Rules'!$B$17,IF(I126&gt;=1,'Scoring Rules'!$B$18,'Scoring Rules'!$B$19)))+IF(L126="是",'Scoring Rules'!$B$22,0)+MIN(J126*'Scoring Rules'!$B$23,'Scoring Rules'!$B$24)+IF(M126="是",'Scoring Rules'!$B$25,0)+MIN((IF(K126="",0,LEN(K126)-LEN(SUBSTITUTE(K126,";",""))+1))*'Scoring Rules'!$B$26,'Scoring Rules'!$B$27)+IF(N126="是",'Scoring Rules'!$B$28,0)+IF(O126="是",'Scoring Rules'!$B$29,0)+IF(P126="是",'Scoring Rules'!$B$30,0)+IF(Q126="是",'Scoring Rules'!$B$31,0)+IF(R126="是",'Scoring Rules'!$B$32,0)+IF(S126&gt;=8000,'Scoring Rules'!$B$35,IF(S126&gt;=4000,'Scoring Rules'!$B$36,IF(S126&gt;=2000,'Scoring Rules'!$B$37,'Scoring Rules'!$B$38))))</f>
        <v/>
      </c>
      <c r="F126" s="15" t="inlineStr">
        <is>
          <t>Standard</t>
        </is>
      </c>
      <c r="G126" s="15" t="inlineStr">
        <is>
          <t>Bachelor</t>
        </is>
      </c>
      <c r="H126" s="15" t="n">
        <v>12</v>
      </c>
      <c r="I126" s="15" t="n">
        <v>3</v>
      </c>
      <c r="J126" s="15" t="n">
        <v>3</v>
      </c>
      <c r="K126" s="15" t="str"/>
      <c r="L126" s="15" t="inlineStr">
        <is>
          <t>是</t>
        </is>
      </c>
      <c r="M126" s="15" t="inlineStr">
        <is>
          <t>是</t>
        </is>
      </c>
      <c r="N126" s="15" t="str"/>
      <c r="O126" s="15" t="str"/>
      <c r="P126" s="15" t="str"/>
      <c r="Q126" s="15" t="str"/>
      <c r="R126" s="15" t="str"/>
      <c r="S126" s="15" t="n">
        <v>3131</v>
      </c>
      <c r="T126" s="15" t="inlineStr">
        <is>
          <t>Embedded/Systems</t>
        </is>
      </c>
      <c r="U126" s="15" t="inlineStr">
        <is>
          <t>Government/Defense; Technology; Education/Research</t>
        </is>
      </c>
      <c r="V126" s="15" t="inlineStr">
        <is>
          <t>C:\Workspace\java\scrape_indeed\soft_dav_part_1\2064.html#21967</t>
        </is>
      </c>
    </row>
    <row r="127">
      <c r="A127" s="2">
        <f>IF(COUNTIF('Sample 20'!$B$2:$B$21,B127)&gt;0,"是","")</f>
        <v/>
      </c>
      <c r="B127" s="2" t="inlineStr">
        <is>
          <t>21627</t>
        </is>
      </c>
      <c r="C127" s="15" t="inlineStr">
        <is>
          <t>Software Developer</t>
        </is>
      </c>
      <c r="D127" s="15">
        <f>IF(E127&gt;='Scoring Rules'!$B$3,"强",IF(E127&gt;='Scoring Rules'!$B$4,"中","弱"))</f>
        <v/>
      </c>
      <c r="E127" s="125">
        <f>MIN(100,H127+IF(I127&gt;=5,'Scoring Rules'!$B$16,IF(I127&gt;=3,'Scoring Rules'!$B$17,IF(I127&gt;=1,'Scoring Rules'!$B$18,'Scoring Rules'!$B$19)))+IF(L127="是",'Scoring Rules'!$B$22,0)+MIN(J127*'Scoring Rules'!$B$23,'Scoring Rules'!$B$24)+IF(M127="是",'Scoring Rules'!$B$25,0)+MIN((IF(K127="",0,LEN(K127)-LEN(SUBSTITUTE(K127,";",""))+1))*'Scoring Rules'!$B$26,'Scoring Rules'!$B$27)+IF(N127="是",'Scoring Rules'!$B$28,0)+IF(O127="是",'Scoring Rules'!$B$29,0)+IF(P127="是",'Scoring Rules'!$B$30,0)+IF(Q127="是",'Scoring Rules'!$B$31,0)+IF(R127="是",'Scoring Rules'!$B$32,0)+IF(S127&gt;=8000,'Scoring Rules'!$B$35,IF(S127&gt;=4000,'Scoring Rules'!$B$36,IF(S127&gt;=2000,'Scoring Rules'!$B$37,'Scoring Rules'!$B$38))))</f>
        <v/>
      </c>
      <c r="F127" s="15" t="inlineStr">
        <is>
          <t>Standard</t>
        </is>
      </c>
      <c r="G127" s="15" t="inlineStr">
        <is>
          <t>Associate</t>
        </is>
      </c>
      <c r="H127" s="15" t="n">
        <v>8</v>
      </c>
      <c r="I127" s="15" t="n">
        <v>2</v>
      </c>
      <c r="J127" s="15" t="n">
        <v>15</v>
      </c>
      <c r="K127" s="15" t="str"/>
      <c r="L127" s="15" t="inlineStr">
        <is>
          <t>是</t>
        </is>
      </c>
      <c r="M127" s="15" t="str"/>
      <c r="N127" s="15" t="str"/>
      <c r="O127" s="15" t="inlineStr">
        <is>
          <t>是</t>
        </is>
      </c>
      <c r="P127" s="15" t="inlineStr">
        <is>
          <t>是</t>
        </is>
      </c>
      <c r="Q127" s="15" t="inlineStr">
        <is>
          <t>是</t>
        </is>
      </c>
      <c r="R127" s="15" t="inlineStr">
        <is>
          <t>是</t>
        </is>
      </c>
      <c r="S127" s="15" t="n">
        <v>3897</v>
      </c>
      <c r="T127" s="15" t="inlineStr">
        <is>
          <t>Frontend; Backend/API; Mobile; Data/Database; Cloud/DevOps; Embedded/Systems</t>
        </is>
      </c>
      <c r="U127" s="15" t="inlineStr">
        <is>
          <t>Technology; Manufacturing/Automotive</t>
        </is>
      </c>
      <c r="V127" s="15" t="inlineStr">
        <is>
          <t>C:\Workspace\java\scrape_indeed\soft_dav_part_1\2074.html#21978</t>
        </is>
      </c>
    </row>
    <row r="128">
      <c r="A128" s="2">
        <f>IF(COUNTIF('Sample 20'!$B$2:$B$21,B128)&gt;0,"是","")</f>
        <v/>
      </c>
      <c r="B128" s="2" t="inlineStr">
        <is>
          <t>21633</t>
        </is>
      </c>
      <c r="C128" s="15" t="inlineStr">
        <is>
          <t>Software Developer</t>
        </is>
      </c>
      <c r="D128" s="15">
        <f>IF(E128&gt;='Scoring Rules'!$B$3,"强",IF(E128&gt;='Scoring Rules'!$B$4,"中","弱"))</f>
        <v/>
      </c>
      <c r="E128" s="125">
        <f>MIN(100,H128+IF(I128&gt;=5,'Scoring Rules'!$B$16,IF(I128&gt;=3,'Scoring Rules'!$B$17,IF(I128&gt;=1,'Scoring Rules'!$B$18,'Scoring Rules'!$B$19)))+IF(L128="是",'Scoring Rules'!$B$22,0)+MIN(J128*'Scoring Rules'!$B$23,'Scoring Rules'!$B$24)+IF(M128="是",'Scoring Rules'!$B$25,0)+MIN((IF(K128="",0,LEN(K128)-LEN(SUBSTITUTE(K128,";",""))+1))*'Scoring Rules'!$B$26,'Scoring Rules'!$B$27)+IF(N128="是",'Scoring Rules'!$B$28,0)+IF(O128="是",'Scoring Rules'!$B$29,0)+IF(P128="是",'Scoring Rules'!$B$30,0)+IF(Q128="是",'Scoring Rules'!$B$31,0)+IF(R128="是",'Scoring Rules'!$B$32,0)+IF(S128&gt;=8000,'Scoring Rules'!$B$35,IF(S128&gt;=4000,'Scoring Rules'!$B$36,IF(S128&gt;=2000,'Scoring Rules'!$B$37,'Scoring Rules'!$B$38))))</f>
        <v/>
      </c>
      <c r="F128" s="15" t="inlineStr">
        <is>
          <t>Standard</t>
        </is>
      </c>
      <c r="G128" s="15" t="inlineStr">
        <is>
          <t>Bachelor</t>
        </is>
      </c>
      <c r="H128" s="15" t="n">
        <v>12</v>
      </c>
      <c r="I128" s="15" t="n">
        <v>4</v>
      </c>
      <c r="J128" s="15" t="n">
        <v>23</v>
      </c>
      <c r="K128" s="15" t="str"/>
      <c r="L128" s="15" t="inlineStr">
        <is>
          <t>是</t>
        </is>
      </c>
      <c r="M128" s="15" t="str"/>
      <c r="N128" s="15" t="str"/>
      <c r="O128" s="15" t="str"/>
      <c r="P128" s="15" t="inlineStr">
        <is>
          <t>是</t>
        </is>
      </c>
      <c r="Q128" s="15" t="str"/>
      <c r="R128" s="15" t="inlineStr">
        <is>
          <t>是</t>
        </is>
      </c>
      <c r="S128" s="15" t="n">
        <v>2989</v>
      </c>
      <c r="T128" s="15" t="inlineStr">
        <is>
          <t>Frontend; Backend/API; Mobile; Data/Database; Cloud/DevOps</t>
        </is>
      </c>
      <c r="U128" s="15" t="inlineStr">
        <is>
          <t>Technology; Consulting; Education/Research</t>
        </is>
      </c>
      <c r="V128" s="15" t="inlineStr">
        <is>
          <t>C:\Workspace\java\scrape_indeed\soft_dav_part_1\208.html#21984</t>
        </is>
      </c>
    </row>
    <row r="129">
      <c r="A129" s="2">
        <f>IF(COUNTIF('Sample 20'!$B$2:$B$21,B129)&gt;0,"是","")</f>
        <v/>
      </c>
      <c r="B129" s="2" t="inlineStr">
        <is>
          <t>21642</t>
        </is>
      </c>
      <c r="C129" s="15" t="inlineStr">
        <is>
          <t>Software Developer</t>
        </is>
      </c>
      <c r="D129" s="15">
        <f>IF(E129&gt;='Scoring Rules'!$B$3,"强",IF(E129&gt;='Scoring Rules'!$B$4,"中","弱"))</f>
        <v/>
      </c>
      <c r="E129" s="125">
        <f>MIN(100,H129+IF(I129&gt;=5,'Scoring Rules'!$B$16,IF(I129&gt;=3,'Scoring Rules'!$B$17,IF(I129&gt;=1,'Scoring Rules'!$B$18,'Scoring Rules'!$B$19)))+IF(L129="是",'Scoring Rules'!$B$22,0)+MIN(J129*'Scoring Rules'!$B$23,'Scoring Rules'!$B$24)+IF(M129="是",'Scoring Rules'!$B$25,0)+MIN((IF(K129="",0,LEN(K129)-LEN(SUBSTITUTE(K129,";",""))+1))*'Scoring Rules'!$B$26,'Scoring Rules'!$B$27)+IF(N129="是",'Scoring Rules'!$B$28,0)+IF(O129="是",'Scoring Rules'!$B$29,0)+IF(P129="是",'Scoring Rules'!$B$30,0)+IF(Q129="是",'Scoring Rules'!$B$31,0)+IF(R129="是",'Scoring Rules'!$B$32,0)+IF(S129&gt;=8000,'Scoring Rules'!$B$35,IF(S129&gt;=4000,'Scoring Rules'!$B$36,IF(S129&gt;=2000,'Scoring Rules'!$B$37,'Scoring Rules'!$B$38))))</f>
        <v/>
      </c>
      <c r="F129" s="15" t="inlineStr">
        <is>
          <t>Standard</t>
        </is>
      </c>
      <c r="G129" s="15" t="inlineStr">
        <is>
          <t>Unspecified</t>
        </is>
      </c>
      <c r="H129" s="15" t="n">
        <v>2</v>
      </c>
      <c r="I129" s="15" t="n">
        <v>3</v>
      </c>
      <c r="J129" s="15" t="n">
        <v>13</v>
      </c>
      <c r="K129" s="15" t="str"/>
      <c r="L129" s="15" t="inlineStr">
        <is>
          <t>是</t>
        </is>
      </c>
      <c r="M129" s="15" t="str"/>
      <c r="N129" s="15" t="str"/>
      <c r="O129" s="15" t="str"/>
      <c r="P129" s="15" t="str"/>
      <c r="Q129" s="15" t="str"/>
      <c r="R129" s="15" t="inlineStr">
        <is>
          <t>是</t>
        </is>
      </c>
      <c r="S129" s="15" t="n">
        <v>2591</v>
      </c>
      <c r="T129" s="15" t="inlineStr">
        <is>
          <t>Frontend; Backend/API; Data/Database; Embedded/Systems</t>
        </is>
      </c>
      <c r="U129" s="15" t="inlineStr">
        <is>
          <t>Finance/Banking; Technology; Telecom; Education/Research; Retail/E-commerce</t>
        </is>
      </c>
      <c r="V129" s="15" t="inlineStr">
        <is>
          <t>C:\Workspace\java\scrape_indeed\soft_dav_part_1\2088.html#21993</t>
        </is>
      </c>
    </row>
    <row r="130">
      <c r="A130" s="2">
        <f>IF(COUNTIF('Sample 20'!$B$2:$B$21,B130)&gt;0,"是","")</f>
        <v/>
      </c>
      <c r="B130" s="2" t="inlineStr">
        <is>
          <t>21648</t>
        </is>
      </c>
      <c r="C130" s="15" t="inlineStr">
        <is>
          <t>SOFTWARE DEVELOPER</t>
        </is>
      </c>
      <c r="D130" s="15">
        <f>IF(E130&gt;='Scoring Rules'!$B$3,"强",IF(E130&gt;='Scoring Rules'!$B$4,"中","弱"))</f>
        <v/>
      </c>
      <c r="E130" s="125">
        <f>MIN(100,H130+IF(I130&gt;=5,'Scoring Rules'!$B$16,IF(I130&gt;=3,'Scoring Rules'!$B$17,IF(I130&gt;=1,'Scoring Rules'!$B$18,'Scoring Rules'!$B$19)))+IF(L130="是",'Scoring Rules'!$B$22,0)+MIN(J130*'Scoring Rules'!$B$23,'Scoring Rules'!$B$24)+IF(M130="是",'Scoring Rules'!$B$25,0)+MIN((IF(K130="",0,LEN(K130)-LEN(SUBSTITUTE(K130,";",""))+1))*'Scoring Rules'!$B$26,'Scoring Rules'!$B$27)+IF(N130="是",'Scoring Rules'!$B$28,0)+IF(O130="是",'Scoring Rules'!$B$29,0)+IF(P130="是",'Scoring Rules'!$B$30,0)+IF(Q130="是",'Scoring Rules'!$B$31,0)+IF(R130="是",'Scoring Rules'!$B$32,0)+IF(S130&gt;=8000,'Scoring Rules'!$B$35,IF(S130&gt;=4000,'Scoring Rules'!$B$36,IF(S130&gt;=2000,'Scoring Rules'!$B$37,'Scoring Rules'!$B$38))))</f>
        <v/>
      </c>
      <c r="F130" s="15" t="inlineStr">
        <is>
          <t>Standard</t>
        </is>
      </c>
      <c r="G130" s="15" t="inlineStr">
        <is>
          <t>Bachelor</t>
        </is>
      </c>
      <c r="H130" s="15" t="n">
        <v>12</v>
      </c>
      <c r="I130" s="15" t="n">
        <v>2</v>
      </c>
      <c r="J130" s="15" t="n">
        <v>10</v>
      </c>
      <c r="K130" s="15" t="str"/>
      <c r="L130" s="15" t="inlineStr">
        <is>
          <t>是</t>
        </is>
      </c>
      <c r="M130" s="15" t="str"/>
      <c r="N130" s="15" t="str"/>
      <c r="O130" s="15" t="str"/>
      <c r="P130" s="15" t="str"/>
      <c r="Q130" s="15" t="inlineStr">
        <is>
          <t>是</t>
        </is>
      </c>
      <c r="R130" s="15" t="str"/>
      <c r="S130" s="15" t="n">
        <v>2138</v>
      </c>
      <c r="T130" s="15" t="inlineStr">
        <is>
          <t>Frontend; Data/Database; Cloud/DevOps</t>
        </is>
      </c>
      <c r="U130" s="15" t="inlineStr">
        <is>
          <t>Technology; Education/Research</t>
        </is>
      </c>
      <c r="V130" s="15" t="inlineStr">
        <is>
          <t>C:\Workspace\java\scrape_indeed\soft_dav_part_1\2093.html#21999</t>
        </is>
      </c>
    </row>
    <row r="131">
      <c r="A131" s="2">
        <f>IF(COUNTIF('Sample 20'!$B$2:$B$21,B131)&gt;0,"是","")</f>
        <v/>
      </c>
      <c r="B131" s="2" t="inlineStr">
        <is>
          <t>21650</t>
        </is>
      </c>
      <c r="C131" s="15" t="inlineStr">
        <is>
          <t>Software Developer</t>
        </is>
      </c>
      <c r="D131" s="15">
        <f>IF(E131&gt;='Scoring Rules'!$B$3,"强",IF(E131&gt;='Scoring Rules'!$B$4,"中","弱"))</f>
        <v/>
      </c>
      <c r="E131" s="125">
        <f>MIN(100,H131+IF(I131&gt;=5,'Scoring Rules'!$B$16,IF(I131&gt;=3,'Scoring Rules'!$B$17,IF(I131&gt;=1,'Scoring Rules'!$B$18,'Scoring Rules'!$B$19)))+IF(L131="是",'Scoring Rules'!$B$22,0)+MIN(J131*'Scoring Rules'!$B$23,'Scoring Rules'!$B$24)+IF(M131="是",'Scoring Rules'!$B$25,0)+MIN((IF(K131="",0,LEN(K131)-LEN(SUBSTITUTE(K131,";",""))+1))*'Scoring Rules'!$B$26,'Scoring Rules'!$B$27)+IF(N131="是",'Scoring Rules'!$B$28,0)+IF(O131="是",'Scoring Rules'!$B$29,0)+IF(P131="是",'Scoring Rules'!$B$30,0)+IF(Q131="是",'Scoring Rules'!$B$31,0)+IF(R131="是",'Scoring Rules'!$B$32,0)+IF(S131&gt;=8000,'Scoring Rules'!$B$35,IF(S131&gt;=4000,'Scoring Rules'!$B$36,IF(S131&gt;=2000,'Scoring Rules'!$B$37,'Scoring Rules'!$B$38))))</f>
        <v/>
      </c>
      <c r="F131" s="15" t="inlineStr">
        <is>
          <t>Standard</t>
        </is>
      </c>
      <c r="G131" s="15" t="inlineStr">
        <is>
          <t>High School</t>
        </is>
      </c>
      <c r="H131" s="15" t="n">
        <v>5</v>
      </c>
      <c r="I131" s="15" t="n">
        <v>7</v>
      </c>
      <c r="J131" s="15" t="n">
        <v>6</v>
      </c>
      <c r="K131" s="15" t="str"/>
      <c r="L131" s="15" t="inlineStr">
        <is>
          <t>是</t>
        </is>
      </c>
      <c r="M131" s="15" t="inlineStr">
        <is>
          <t>是</t>
        </is>
      </c>
      <c r="N131" s="15" t="str"/>
      <c r="O131" s="15" t="inlineStr">
        <is>
          <t>是</t>
        </is>
      </c>
      <c r="P131" s="15" t="str"/>
      <c r="Q131" s="15" t="inlineStr">
        <is>
          <t>是</t>
        </is>
      </c>
      <c r="R131" s="15" t="inlineStr">
        <is>
          <t>是</t>
        </is>
      </c>
      <c r="S131" s="15" t="n">
        <v>4297</v>
      </c>
      <c r="T131" s="15" t="inlineStr">
        <is>
          <t>Frontend; Testing/Automation</t>
        </is>
      </c>
      <c r="U131" s="15" t="inlineStr">
        <is>
          <t>Technology; Education/Research</t>
        </is>
      </c>
      <c r="V131" s="15" t="inlineStr">
        <is>
          <t>C:\Workspace\java\scrape_indeed\soft_dav_part_1\2095.html#22001</t>
        </is>
      </c>
    </row>
    <row r="132">
      <c r="A132" s="2">
        <f>IF(COUNTIF('Sample 20'!$B$2:$B$21,B132)&gt;0,"是","")</f>
        <v/>
      </c>
      <c r="B132" s="2" t="inlineStr">
        <is>
          <t>21655</t>
        </is>
      </c>
      <c r="C132" s="15" t="inlineStr">
        <is>
          <t>Software Developer</t>
        </is>
      </c>
      <c r="D132" s="15">
        <f>IF(E132&gt;='Scoring Rules'!$B$3,"强",IF(E132&gt;='Scoring Rules'!$B$4,"中","弱"))</f>
        <v/>
      </c>
      <c r="E132" s="125">
        <f>MIN(100,H132+IF(I132&gt;=5,'Scoring Rules'!$B$16,IF(I132&gt;=3,'Scoring Rules'!$B$17,IF(I132&gt;=1,'Scoring Rules'!$B$18,'Scoring Rules'!$B$19)))+IF(L132="是",'Scoring Rules'!$B$22,0)+MIN(J132*'Scoring Rules'!$B$23,'Scoring Rules'!$B$24)+IF(M132="是",'Scoring Rules'!$B$25,0)+MIN((IF(K132="",0,LEN(K132)-LEN(SUBSTITUTE(K132,";",""))+1))*'Scoring Rules'!$B$26,'Scoring Rules'!$B$27)+IF(N132="是",'Scoring Rules'!$B$28,0)+IF(O132="是",'Scoring Rules'!$B$29,0)+IF(P132="是",'Scoring Rules'!$B$30,0)+IF(Q132="是",'Scoring Rules'!$B$31,0)+IF(R132="是",'Scoring Rules'!$B$32,0)+IF(S132&gt;=8000,'Scoring Rules'!$B$35,IF(S132&gt;=4000,'Scoring Rules'!$B$36,IF(S132&gt;=2000,'Scoring Rules'!$B$37,'Scoring Rules'!$B$38))))</f>
        <v/>
      </c>
      <c r="F132" s="15" t="inlineStr">
        <is>
          <t>Standard</t>
        </is>
      </c>
      <c r="G132" s="15" t="inlineStr">
        <is>
          <t>Bachelor</t>
        </is>
      </c>
      <c r="H132" s="15" t="n">
        <v>12</v>
      </c>
      <c r="I132" s="15" t="n">
        <v>1</v>
      </c>
      <c r="J132" s="15" t="n">
        <v>9</v>
      </c>
      <c r="K132" s="15" t="str"/>
      <c r="L132" s="15" t="inlineStr">
        <is>
          <t>是</t>
        </is>
      </c>
      <c r="M132" s="15" t="str"/>
      <c r="N132" s="15" t="inlineStr">
        <is>
          <t>是</t>
        </is>
      </c>
      <c r="O132" s="15" t="str"/>
      <c r="P132" s="15" t="str"/>
      <c r="Q132" s="15" t="str"/>
      <c r="R132" s="15" t="str"/>
      <c r="S132" s="15" t="n">
        <v>1966</v>
      </c>
      <c r="T132" s="15" t="inlineStr">
        <is>
          <t>Backend/API; Data/Database</t>
        </is>
      </c>
      <c r="U132" s="15" t="inlineStr">
        <is>
          <t>Technology; Education/Research</t>
        </is>
      </c>
      <c r="V132" s="15" t="inlineStr">
        <is>
          <t>C:\Workspace\java\scrape_indeed\soft_dav_part_1\21.html#22006</t>
        </is>
      </c>
    </row>
    <row r="133">
      <c r="A133" s="2">
        <f>IF(COUNTIF('Sample 20'!$B$2:$B$21,B133)&gt;0,"是","")</f>
        <v/>
      </c>
      <c r="B133" s="2" t="inlineStr">
        <is>
          <t>21666</t>
        </is>
      </c>
      <c r="C133" s="15" t="inlineStr">
        <is>
          <t>Software Developer</t>
        </is>
      </c>
      <c r="D133" s="15">
        <f>IF(E133&gt;='Scoring Rules'!$B$3,"强",IF(E133&gt;='Scoring Rules'!$B$4,"中","弱"))</f>
        <v/>
      </c>
      <c r="E133" s="125">
        <f>MIN(100,H133+IF(I133&gt;=5,'Scoring Rules'!$B$16,IF(I133&gt;=3,'Scoring Rules'!$B$17,IF(I133&gt;=1,'Scoring Rules'!$B$18,'Scoring Rules'!$B$19)))+IF(L133="是",'Scoring Rules'!$B$22,0)+MIN(J133*'Scoring Rules'!$B$23,'Scoring Rules'!$B$24)+IF(M133="是",'Scoring Rules'!$B$25,0)+MIN((IF(K133="",0,LEN(K133)-LEN(SUBSTITUTE(K133,";",""))+1))*'Scoring Rules'!$B$26,'Scoring Rules'!$B$27)+IF(N133="是",'Scoring Rules'!$B$28,0)+IF(O133="是",'Scoring Rules'!$B$29,0)+IF(P133="是",'Scoring Rules'!$B$30,0)+IF(Q133="是",'Scoring Rules'!$B$31,0)+IF(R133="是",'Scoring Rules'!$B$32,0)+IF(S133&gt;=8000,'Scoring Rules'!$B$35,IF(S133&gt;=4000,'Scoring Rules'!$B$36,IF(S133&gt;=2000,'Scoring Rules'!$B$37,'Scoring Rules'!$B$38))))</f>
        <v/>
      </c>
      <c r="F133" s="15" t="inlineStr">
        <is>
          <t>Standard</t>
        </is>
      </c>
      <c r="G133" s="15" t="inlineStr">
        <is>
          <t>Master</t>
        </is>
      </c>
      <c r="H133" s="15" t="n">
        <v>16</v>
      </c>
      <c r="I133" s="15" t="n">
        <v>5</v>
      </c>
      <c r="J133" s="15" t="n">
        <v>12</v>
      </c>
      <c r="K133" s="15" t="inlineStr">
        <is>
          <t>ITIL</t>
        </is>
      </c>
      <c r="L133" s="15" t="inlineStr">
        <is>
          <t>是</t>
        </is>
      </c>
      <c r="M133" s="15" t="inlineStr">
        <is>
          <t>是</t>
        </is>
      </c>
      <c r="N133" s="15" t="str"/>
      <c r="O133" s="15" t="str"/>
      <c r="P133" s="15" t="str"/>
      <c r="Q133" s="15" t="inlineStr">
        <is>
          <t>是</t>
        </is>
      </c>
      <c r="R133" s="15" t="str"/>
      <c r="S133" s="15" t="n">
        <v>8161</v>
      </c>
      <c r="T133" s="15" t="inlineStr">
        <is>
          <t>Frontend; Backend/API; Data/Database; Embedded/Systems</t>
        </is>
      </c>
      <c r="U133" s="15" t="inlineStr">
        <is>
          <t>Finance/Banking; Healthcare; Government/Defense; Technology</t>
        </is>
      </c>
      <c r="V133" s="15" t="inlineStr">
        <is>
          <t>C:\Workspace\java\scrape_indeed\soft_dav_part_1\2109.html#22017</t>
        </is>
      </c>
    </row>
    <row r="134">
      <c r="A134" s="2">
        <f>IF(COUNTIF('Sample 20'!$B$2:$B$21,B134)&gt;0,"是","")</f>
        <v/>
      </c>
      <c r="B134" s="2" t="inlineStr">
        <is>
          <t>21674</t>
        </is>
      </c>
      <c r="C134" s="15" t="inlineStr">
        <is>
          <t>Software Developer</t>
        </is>
      </c>
      <c r="D134" s="15">
        <f>IF(E134&gt;='Scoring Rules'!$B$3,"强",IF(E134&gt;='Scoring Rules'!$B$4,"中","弱"))</f>
        <v/>
      </c>
      <c r="E134" s="125">
        <f>MIN(100,H134+IF(I134&gt;=5,'Scoring Rules'!$B$16,IF(I134&gt;=3,'Scoring Rules'!$B$17,IF(I134&gt;=1,'Scoring Rules'!$B$18,'Scoring Rules'!$B$19)))+IF(L134="是",'Scoring Rules'!$B$22,0)+MIN(J134*'Scoring Rules'!$B$23,'Scoring Rules'!$B$24)+IF(M134="是",'Scoring Rules'!$B$25,0)+MIN((IF(K134="",0,LEN(K134)-LEN(SUBSTITUTE(K134,";",""))+1))*'Scoring Rules'!$B$26,'Scoring Rules'!$B$27)+IF(N134="是",'Scoring Rules'!$B$28,0)+IF(O134="是",'Scoring Rules'!$B$29,0)+IF(P134="是",'Scoring Rules'!$B$30,0)+IF(Q134="是",'Scoring Rules'!$B$31,0)+IF(R134="是",'Scoring Rules'!$B$32,0)+IF(S134&gt;=8000,'Scoring Rules'!$B$35,IF(S134&gt;=4000,'Scoring Rules'!$B$36,IF(S134&gt;=2000,'Scoring Rules'!$B$37,'Scoring Rules'!$B$38))))</f>
        <v/>
      </c>
      <c r="F134" s="15" t="inlineStr">
        <is>
          <t>Standard</t>
        </is>
      </c>
      <c r="G134" s="15" t="inlineStr">
        <is>
          <t>Master</t>
        </is>
      </c>
      <c r="H134" s="15" t="n">
        <v>16</v>
      </c>
      <c r="I134" s="15" t="n">
        <v>5</v>
      </c>
      <c r="J134" s="15" t="n">
        <v>11</v>
      </c>
      <c r="K134" s="15" t="inlineStr">
        <is>
          <t>ITIL</t>
        </is>
      </c>
      <c r="L134" s="15" t="inlineStr">
        <is>
          <t>是</t>
        </is>
      </c>
      <c r="M134" s="15" t="str"/>
      <c r="N134" s="15" t="str"/>
      <c r="O134" s="15" t="inlineStr">
        <is>
          <t>是</t>
        </is>
      </c>
      <c r="P134" s="15" t="str"/>
      <c r="Q134" s="15" t="str"/>
      <c r="R134" s="15" t="inlineStr">
        <is>
          <t>是</t>
        </is>
      </c>
      <c r="S134" s="15" t="n">
        <v>4651</v>
      </c>
      <c r="T134" s="15" t="inlineStr">
        <is>
          <t>Frontend; Backend/API; Data/Database; Testing/Automation</t>
        </is>
      </c>
      <c r="U134" s="15" t="inlineStr">
        <is>
          <t>Technology; Education/Research</t>
        </is>
      </c>
      <c r="V134" s="15" t="inlineStr">
        <is>
          <t>C:\Workspace\java\scrape_indeed\soft_dav_part_1\2116.html#22025</t>
        </is>
      </c>
    </row>
    <row r="135">
      <c r="A135" s="2">
        <f>IF(COUNTIF('Sample 20'!$B$2:$B$21,B135)&gt;0,"是","")</f>
        <v/>
      </c>
      <c r="B135" s="2" t="inlineStr">
        <is>
          <t>21689</t>
        </is>
      </c>
      <c r="C135" s="15" t="inlineStr">
        <is>
          <t>Software Developer</t>
        </is>
      </c>
      <c r="D135" s="15">
        <f>IF(E135&gt;='Scoring Rules'!$B$3,"强",IF(E135&gt;='Scoring Rules'!$B$4,"中","弱"))</f>
        <v/>
      </c>
      <c r="E135" s="125">
        <f>MIN(100,H135+IF(I135&gt;=5,'Scoring Rules'!$B$16,IF(I135&gt;=3,'Scoring Rules'!$B$17,IF(I135&gt;=1,'Scoring Rules'!$B$18,'Scoring Rules'!$B$19)))+IF(L135="是",'Scoring Rules'!$B$22,0)+MIN(J135*'Scoring Rules'!$B$23,'Scoring Rules'!$B$24)+IF(M135="是",'Scoring Rules'!$B$25,0)+MIN((IF(K135="",0,LEN(K135)-LEN(SUBSTITUTE(K135,";",""))+1))*'Scoring Rules'!$B$26,'Scoring Rules'!$B$27)+IF(N135="是",'Scoring Rules'!$B$28,0)+IF(O135="是",'Scoring Rules'!$B$29,0)+IF(P135="是",'Scoring Rules'!$B$30,0)+IF(Q135="是",'Scoring Rules'!$B$31,0)+IF(R135="是",'Scoring Rules'!$B$32,0)+IF(S135&gt;=8000,'Scoring Rules'!$B$35,IF(S135&gt;=4000,'Scoring Rules'!$B$36,IF(S135&gt;=2000,'Scoring Rules'!$B$37,'Scoring Rules'!$B$38))))</f>
        <v/>
      </c>
      <c r="F135" s="15" t="inlineStr">
        <is>
          <t>Standard</t>
        </is>
      </c>
      <c r="G135" s="15" t="inlineStr">
        <is>
          <t>Unspecified</t>
        </is>
      </c>
      <c r="H135" s="15" t="n">
        <v>2</v>
      </c>
      <c r="I135" s="15" t="n">
        <v>4</v>
      </c>
      <c r="J135" s="15" t="n">
        <v>18</v>
      </c>
      <c r="K135" s="15" t="str"/>
      <c r="L135" s="15" t="inlineStr">
        <is>
          <t>是</t>
        </is>
      </c>
      <c r="M135" s="15" t="str"/>
      <c r="N135" s="15" t="str"/>
      <c r="O135" s="15" t="inlineStr">
        <is>
          <t>是</t>
        </is>
      </c>
      <c r="P135" s="15" t="str"/>
      <c r="Q135" s="15" t="inlineStr">
        <is>
          <t>是</t>
        </is>
      </c>
      <c r="R135" s="15" t="inlineStr">
        <is>
          <t>是</t>
        </is>
      </c>
      <c r="S135" s="15" t="n">
        <v>4034</v>
      </c>
      <c r="T135" s="15" t="inlineStr">
        <is>
          <t>Frontend; Backend/API; Mobile; Data/Database; Cloud/DevOps</t>
        </is>
      </c>
      <c r="U135" s="15" t="inlineStr">
        <is>
          <t>Technology; Education/Research</t>
        </is>
      </c>
      <c r="V135" s="15" t="inlineStr">
        <is>
          <t>C:\Workspace\java\scrape_indeed\soft_dav_part_1\213.html#22040</t>
        </is>
      </c>
    </row>
    <row r="136">
      <c r="A136" s="2">
        <f>IF(COUNTIF('Sample 20'!$B$2:$B$21,B136)&gt;0,"是","")</f>
        <v/>
      </c>
      <c r="B136" s="2" t="inlineStr">
        <is>
          <t>21737</t>
        </is>
      </c>
      <c r="C136" s="15" t="inlineStr">
        <is>
          <t>Software Developer</t>
        </is>
      </c>
      <c r="D136" s="15">
        <f>IF(E136&gt;='Scoring Rules'!$B$3,"强",IF(E136&gt;='Scoring Rules'!$B$4,"中","弱"))</f>
        <v/>
      </c>
      <c r="E136" s="125">
        <f>MIN(100,H136+IF(I136&gt;=5,'Scoring Rules'!$B$16,IF(I136&gt;=3,'Scoring Rules'!$B$17,IF(I136&gt;=1,'Scoring Rules'!$B$18,'Scoring Rules'!$B$19)))+IF(L136="是",'Scoring Rules'!$B$22,0)+MIN(J136*'Scoring Rules'!$B$23,'Scoring Rules'!$B$24)+IF(M136="是",'Scoring Rules'!$B$25,0)+MIN((IF(K136="",0,LEN(K136)-LEN(SUBSTITUTE(K136,";",""))+1))*'Scoring Rules'!$B$26,'Scoring Rules'!$B$27)+IF(N136="是",'Scoring Rules'!$B$28,0)+IF(O136="是",'Scoring Rules'!$B$29,0)+IF(P136="是",'Scoring Rules'!$B$30,0)+IF(Q136="是",'Scoring Rules'!$B$31,0)+IF(R136="是",'Scoring Rules'!$B$32,0)+IF(S136&gt;=8000,'Scoring Rules'!$B$35,IF(S136&gt;=4000,'Scoring Rules'!$B$36,IF(S136&gt;=2000,'Scoring Rules'!$B$37,'Scoring Rules'!$B$38))))</f>
        <v/>
      </c>
      <c r="F136" s="15" t="inlineStr">
        <is>
          <t>Standard</t>
        </is>
      </c>
      <c r="G136" s="15" t="inlineStr">
        <is>
          <t>Unspecified</t>
        </is>
      </c>
      <c r="H136" s="15" t="n">
        <v>2</v>
      </c>
      <c r="I136" s="15" t="n">
        <v>6</v>
      </c>
      <c r="J136" s="15" t="n">
        <v>12</v>
      </c>
      <c r="K136" s="15" t="str"/>
      <c r="L136" s="15" t="inlineStr">
        <is>
          <t>是</t>
        </is>
      </c>
      <c r="M136" s="15" t="str"/>
      <c r="N136" s="15" t="str"/>
      <c r="O136" s="15" t="str"/>
      <c r="P136" s="15" t="str"/>
      <c r="Q136" s="15" t="inlineStr">
        <is>
          <t>是</t>
        </is>
      </c>
      <c r="R136" s="15" t="str"/>
      <c r="S136" s="15" t="n">
        <v>5125</v>
      </c>
      <c r="T136" s="15" t="inlineStr">
        <is>
          <t>Backend/API; Cloud/DevOps; Embedded/Systems; Testing/Automation</t>
        </is>
      </c>
      <c r="U136" s="15" t="inlineStr">
        <is>
          <t>Technology; Consulting; Retail/E-commerce</t>
        </is>
      </c>
      <c r="V136" s="15" t="inlineStr">
        <is>
          <t>C:\Workspace\java\scrape_indeed\soft_dav_part_1\2175.html#22090</t>
        </is>
      </c>
    </row>
    <row r="137">
      <c r="A137" s="2">
        <f>IF(COUNTIF('Sample 20'!$B$2:$B$21,B137)&gt;0,"是","")</f>
        <v/>
      </c>
      <c r="B137" s="2" t="inlineStr">
        <is>
          <t>21751</t>
        </is>
      </c>
      <c r="C137" s="15" t="inlineStr">
        <is>
          <t>Software Developer</t>
        </is>
      </c>
      <c r="D137" s="15">
        <f>IF(E137&gt;='Scoring Rules'!$B$3,"强",IF(E137&gt;='Scoring Rules'!$B$4,"中","弱"))</f>
        <v/>
      </c>
      <c r="E137" s="125">
        <f>MIN(100,H137+IF(I137&gt;=5,'Scoring Rules'!$B$16,IF(I137&gt;=3,'Scoring Rules'!$B$17,IF(I137&gt;=1,'Scoring Rules'!$B$18,'Scoring Rules'!$B$19)))+IF(L137="是",'Scoring Rules'!$B$22,0)+MIN(J137*'Scoring Rules'!$B$23,'Scoring Rules'!$B$24)+IF(M137="是",'Scoring Rules'!$B$25,0)+MIN((IF(K137="",0,LEN(K137)-LEN(SUBSTITUTE(K137,";",""))+1))*'Scoring Rules'!$B$26,'Scoring Rules'!$B$27)+IF(N137="是",'Scoring Rules'!$B$28,0)+IF(O137="是",'Scoring Rules'!$B$29,0)+IF(P137="是",'Scoring Rules'!$B$30,0)+IF(Q137="是",'Scoring Rules'!$B$31,0)+IF(R137="是",'Scoring Rules'!$B$32,0)+IF(S137&gt;=8000,'Scoring Rules'!$B$35,IF(S137&gt;=4000,'Scoring Rules'!$B$36,IF(S137&gt;=2000,'Scoring Rules'!$B$37,'Scoring Rules'!$B$38))))</f>
        <v/>
      </c>
      <c r="F137" s="15" t="inlineStr">
        <is>
          <t>Standard</t>
        </is>
      </c>
      <c r="G137" s="15" t="inlineStr">
        <is>
          <t>Bachelor</t>
        </is>
      </c>
      <c r="H137" s="15" t="n">
        <v>12</v>
      </c>
      <c r="I137" s="15" t="n">
        <v>4</v>
      </c>
      <c r="J137" s="15" t="n">
        <v>16</v>
      </c>
      <c r="K137" s="15" t="str"/>
      <c r="L137" s="15" t="inlineStr">
        <is>
          <t>是</t>
        </is>
      </c>
      <c r="M137" s="15" t="str"/>
      <c r="N137" s="15" t="str"/>
      <c r="O137" s="15" t="inlineStr">
        <is>
          <t>是</t>
        </is>
      </c>
      <c r="P137" s="15" t="str"/>
      <c r="Q137" s="15" t="str"/>
      <c r="R137" s="15" t="inlineStr">
        <is>
          <t>是</t>
        </is>
      </c>
      <c r="S137" s="15" t="n">
        <v>4338</v>
      </c>
      <c r="T137" s="15" t="inlineStr">
        <is>
          <t>Frontend; Backend/API; Data/Database; Machine Learning</t>
        </is>
      </c>
      <c r="U137" s="15" t="inlineStr">
        <is>
          <t>Healthcare; Technology; Education/Research</t>
        </is>
      </c>
      <c r="V137" s="15" t="inlineStr">
        <is>
          <t>C:\Workspace\java\scrape_indeed\soft_dav_part_1\2188.html#22104</t>
        </is>
      </c>
    </row>
    <row r="138">
      <c r="A138" s="2">
        <f>IF(COUNTIF('Sample 20'!$B$2:$B$21,B138)&gt;0,"是","")</f>
        <v/>
      </c>
      <c r="B138" s="2" t="inlineStr">
        <is>
          <t>21754</t>
        </is>
      </c>
      <c r="C138" s="15" t="inlineStr">
        <is>
          <t>Software Developer</t>
        </is>
      </c>
      <c r="D138" s="15">
        <f>IF(E138&gt;='Scoring Rules'!$B$3,"强",IF(E138&gt;='Scoring Rules'!$B$4,"中","弱"))</f>
        <v/>
      </c>
      <c r="E138" s="125">
        <f>MIN(100,H138+IF(I138&gt;=5,'Scoring Rules'!$B$16,IF(I138&gt;=3,'Scoring Rules'!$B$17,IF(I138&gt;=1,'Scoring Rules'!$B$18,'Scoring Rules'!$B$19)))+IF(L138="是",'Scoring Rules'!$B$22,0)+MIN(J138*'Scoring Rules'!$B$23,'Scoring Rules'!$B$24)+IF(M138="是",'Scoring Rules'!$B$25,0)+MIN((IF(K138="",0,LEN(K138)-LEN(SUBSTITUTE(K138,";",""))+1))*'Scoring Rules'!$B$26,'Scoring Rules'!$B$27)+IF(N138="是",'Scoring Rules'!$B$28,0)+IF(O138="是",'Scoring Rules'!$B$29,0)+IF(P138="是",'Scoring Rules'!$B$30,0)+IF(Q138="是",'Scoring Rules'!$B$31,0)+IF(R138="是",'Scoring Rules'!$B$32,0)+IF(S138&gt;=8000,'Scoring Rules'!$B$35,IF(S138&gt;=4000,'Scoring Rules'!$B$36,IF(S138&gt;=2000,'Scoring Rules'!$B$37,'Scoring Rules'!$B$38))))</f>
        <v/>
      </c>
      <c r="F138" s="15" t="inlineStr">
        <is>
          <t>Standard</t>
        </is>
      </c>
      <c r="G138" s="15" t="inlineStr">
        <is>
          <t>Bachelor</t>
        </is>
      </c>
      <c r="H138" s="15" t="n">
        <v>12</v>
      </c>
      <c r="I138" s="15" t="n">
        <v>3</v>
      </c>
      <c r="J138" s="15" t="n">
        <v>10</v>
      </c>
      <c r="K138" s="15" t="str"/>
      <c r="L138" s="15" t="inlineStr">
        <is>
          <t>是</t>
        </is>
      </c>
      <c r="M138" s="15" t="str"/>
      <c r="N138" s="15" t="str"/>
      <c r="O138" s="15" t="inlineStr">
        <is>
          <t>是</t>
        </is>
      </c>
      <c r="P138" s="15" t="str"/>
      <c r="Q138" s="15" t="str"/>
      <c r="R138" s="15" t="str"/>
      <c r="S138" s="15" t="n">
        <v>1206</v>
      </c>
      <c r="T138" s="15" t="inlineStr">
        <is>
          <t>Mobile; Data/Database</t>
        </is>
      </c>
      <c r="U138" s="15" t="inlineStr">
        <is>
          <t>Technology; Education/Research</t>
        </is>
      </c>
      <c r="V138" s="15" t="inlineStr">
        <is>
          <t>C:\Workspace\java\scrape_indeed\soft_dav_part_1\2190.html#22107</t>
        </is>
      </c>
    </row>
    <row r="139">
      <c r="A139" s="2">
        <f>IF(COUNTIF('Sample 20'!$B$2:$B$21,B139)&gt;0,"是","")</f>
        <v/>
      </c>
      <c r="B139" s="2" t="inlineStr">
        <is>
          <t>21763</t>
        </is>
      </c>
      <c r="C139" s="15" t="inlineStr">
        <is>
          <t>Software Developer</t>
        </is>
      </c>
      <c r="D139" s="15">
        <f>IF(E139&gt;='Scoring Rules'!$B$3,"强",IF(E139&gt;='Scoring Rules'!$B$4,"中","弱"))</f>
        <v/>
      </c>
      <c r="E139" s="125">
        <f>MIN(100,H139+IF(I139&gt;=5,'Scoring Rules'!$B$16,IF(I139&gt;=3,'Scoring Rules'!$B$17,IF(I139&gt;=1,'Scoring Rules'!$B$18,'Scoring Rules'!$B$19)))+IF(L139="是",'Scoring Rules'!$B$22,0)+MIN(J139*'Scoring Rules'!$B$23,'Scoring Rules'!$B$24)+IF(M139="是",'Scoring Rules'!$B$25,0)+MIN((IF(K139="",0,LEN(K139)-LEN(SUBSTITUTE(K139,";",""))+1))*'Scoring Rules'!$B$26,'Scoring Rules'!$B$27)+IF(N139="是",'Scoring Rules'!$B$28,0)+IF(O139="是",'Scoring Rules'!$B$29,0)+IF(P139="是",'Scoring Rules'!$B$30,0)+IF(Q139="是",'Scoring Rules'!$B$31,0)+IF(R139="是",'Scoring Rules'!$B$32,0)+IF(S139&gt;=8000,'Scoring Rules'!$B$35,IF(S139&gt;=4000,'Scoring Rules'!$B$36,IF(S139&gt;=2000,'Scoring Rules'!$B$37,'Scoring Rules'!$B$38))))</f>
        <v/>
      </c>
      <c r="F139" s="15" t="inlineStr">
        <is>
          <t>Standard</t>
        </is>
      </c>
      <c r="G139" s="15" t="inlineStr">
        <is>
          <t>Unspecified</t>
        </is>
      </c>
      <c r="H139" s="15" t="n">
        <v>2</v>
      </c>
      <c r="I139" s="15" t="n">
        <v>3</v>
      </c>
      <c r="J139" s="15" t="n">
        <v>14</v>
      </c>
      <c r="K139" s="15" t="str"/>
      <c r="L139" s="15" t="inlineStr">
        <is>
          <t>是</t>
        </is>
      </c>
      <c r="M139" s="15" t="str"/>
      <c r="N139" s="15" t="str"/>
      <c r="O139" s="15" t="str"/>
      <c r="P139" s="15" t="str"/>
      <c r="Q139" s="15" t="inlineStr">
        <is>
          <t>是</t>
        </is>
      </c>
      <c r="R139" s="15" t="inlineStr">
        <is>
          <t>是</t>
        </is>
      </c>
      <c r="S139" s="15" t="n">
        <v>8793</v>
      </c>
      <c r="T139" s="15" t="inlineStr">
        <is>
          <t>Frontend; Backend/API; Mobile; Data/Database</t>
        </is>
      </c>
      <c r="U139" s="15" t="inlineStr">
        <is>
          <t>Technology; Consulting; Education/Research; Retail/E-commerce</t>
        </is>
      </c>
      <c r="V139" s="15" t="inlineStr">
        <is>
          <t>C:\Workspace\java\scrape_indeed\soft_dav_part_1\2199.html#22116</t>
        </is>
      </c>
    </row>
    <row r="140">
      <c r="A140" s="2">
        <f>IF(COUNTIF('Sample 20'!$B$2:$B$21,B140)&gt;0,"是","")</f>
        <v/>
      </c>
      <c r="B140" s="2" t="inlineStr">
        <is>
          <t>21764</t>
        </is>
      </c>
      <c r="C140" s="15" t="inlineStr">
        <is>
          <t>Software Developer</t>
        </is>
      </c>
      <c r="D140" s="15">
        <f>IF(E140&gt;='Scoring Rules'!$B$3,"强",IF(E140&gt;='Scoring Rules'!$B$4,"中","弱"))</f>
        <v/>
      </c>
      <c r="E140" s="125">
        <f>MIN(100,H140+IF(I140&gt;=5,'Scoring Rules'!$B$16,IF(I140&gt;=3,'Scoring Rules'!$B$17,IF(I140&gt;=1,'Scoring Rules'!$B$18,'Scoring Rules'!$B$19)))+IF(L140="是",'Scoring Rules'!$B$22,0)+MIN(J140*'Scoring Rules'!$B$23,'Scoring Rules'!$B$24)+IF(M140="是",'Scoring Rules'!$B$25,0)+MIN((IF(K140="",0,LEN(K140)-LEN(SUBSTITUTE(K140,";",""))+1))*'Scoring Rules'!$B$26,'Scoring Rules'!$B$27)+IF(N140="是",'Scoring Rules'!$B$28,0)+IF(O140="是",'Scoring Rules'!$B$29,0)+IF(P140="是",'Scoring Rules'!$B$30,0)+IF(Q140="是",'Scoring Rules'!$B$31,0)+IF(R140="是",'Scoring Rules'!$B$32,0)+IF(S140&gt;=8000,'Scoring Rules'!$B$35,IF(S140&gt;=4000,'Scoring Rules'!$B$36,IF(S140&gt;=2000,'Scoring Rules'!$B$37,'Scoring Rules'!$B$38))))</f>
        <v/>
      </c>
      <c r="F140" s="15" t="inlineStr">
        <is>
          <t>Standard</t>
        </is>
      </c>
      <c r="G140" s="15" t="inlineStr">
        <is>
          <t>Bachelor</t>
        </is>
      </c>
      <c r="H140" s="15" t="n">
        <v>12</v>
      </c>
      <c r="I140" s="15" t="n">
        <v>1</v>
      </c>
      <c r="J140" s="15" t="n">
        <v>13</v>
      </c>
      <c r="K140" s="15" t="str"/>
      <c r="L140" s="15" t="inlineStr">
        <is>
          <t>是</t>
        </is>
      </c>
      <c r="M140" s="15" t="str"/>
      <c r="N140" s="15" t="str"/>
      <c r="O140" s="15" t="str"/>
      <c r="P140" s="15" t="inlineStr">
        <is>
          <t>是</t>
        </is>
      </c>
      <c r="Q140" s="15" t="str"/>
      <c r="R140" s="15" t="inlineStr">
        <is>
          <t>是</t>
        </is>
      </c>
      <c r="S140" s="15" t="n">
        <v>2232</v>
      </c>
      <c r="T140" s="15" t="inlineStr">
        <is>
          <t>Frontend; Backend/API; Cloud/DevOps</t>
        </is>
      </c>
      <c r="U140" s="15" t="inlineStr">
        <is>
          <t>Technology; Education/Research; Retail/E-commerce</t>
        </is>
      </c>
      <c r="V140" s="15" t="inlineStr">
        <is>
          <t>C:\Workspace\java\scrape_indeed\soft_dav_part_1\22.html#22117</t>
        </is>
      </c>
    </row>
    <row r="141">
      <c r="A141" s="2">
        <f>IF(COUNTIF('Sample 20'!$B$2:$B$21,B141)&gt;0,"是","")</f>
        <v/>
      </c>
      <c r="B141" s="2" t="inlineStr">
        <is>
          <t>21768</t>
        </is>
      </c>
      <c r="C141" s="15" t="inlineStr">
        <is>
          <t>Software Developer</t>
        </is>
      </c>
      <c r="D141" s="15">
        <f>IF(E141&gt;='Scoring Rules'!$B$3,"强",IF(E141&gt;='Scoring Rules'!$B$4,"中","弱"))</f>
        <v/>
      </c>
      <c r="E141" s="125">
        <f>MIN(100,H141+IF(I141&gt;=5,'Scoring Rules'!$B$16,IF(I141&gt;=3,'Scoring Rules'!$B$17,IF(I141&gt;=1,'Scoring Rules'!$B$18,'Scoring Rules'!$B$19)))+IF(L141="是",'Scoring Rules'!$B$22,0)+MIN(J141*'Scoring Rules'!$B$23,'Scoring Rules'!$B$24)+IF(M141="是",'Scoring Rules'!$B$25,0)+MIN((IF(K141="",0,LEN(K141)-LEN(SUBSTITUTE(K141,";",""))+1))*'Scoring Rules'!$B$26,'Scoring Rules'!$B$27)+IF(N141="是",'Scoring Rules'!$B$28,0)+IF(O141="是",'Scoring Rules'!$B$29,0)+IF(P141="是",'Scoring Rules'!$B$30,0)+IF(Q141="是",'Scoring Rules'!$B$31,0)+IF(R141="是",'Scoring Rules'!$B$32,0)+IF(S141&gt;=8000,'Scoring Rules'!$B$35,IF(S141&gt;=4000,'Scoring Rules'!$B$36,IF(S141&gt;=2000,'Scoring Rules'!$B$37,'Scoring Rules'!$B$38))))</f>
        <v/>
      </c>
      <c r="F141" s="15" t="inlineStr">
        <is>
          <t>Standard</t>
        </is>
      </c>
      <c r="G141" s="15" t="inlineStr">
        <is>
          <t>Bachelor</t>
        </is>
      </c>
      <c r="H141" s="15" t="n">
        <v>12</v>
      </c>
      <c r="I141" s="15" t="n">
        <v>3</v>
      </c>
      <c r="J141" s="15" t="n">
        <v>11</v>
      </c>
      <c r="K141" s="15" t="str"/>
      <c r="L141" s="15" t="inlineStr">
        <is>
          <t>是</t>
        </is>
      </c>
      <c r="M141" s="15" t="str"/>
      <c r="N141" s="15" t="str"/>
      <c r="O141" s="15" t="str"/>
      <c r="P141" s="15" t="str"/>
      <c r="Q141" s="15" t="str"/>
      <c r="R141" s="15" t="inlineStr">
        <is>
          <t>是</t>
        </is>
      </c>
      <c r="S141" s="15" t="n">
        <v>1448</v>
      </c>
      <c r="T141" s="15" t="inlineStr">
        <is>
          <t>Frontend; Backend/API; Data/Database</t>
        </is>
      </c>
      <c r="U141" s="15" t="inlineStr">
        <is>
          <t>Technology; Education/Research</t>
        </is>
      </c>
      <c r="V141" s="15" t="inlineStr">
        <is>
          <t>C:\Workspace\java\scrape_indeed\soft_dav_part_1\2202.html#22121</t>
        </is>
      </c>
    </row>
    <row r="142">
      <c r="A142" s="2">
        <f>IF(COUNTIF('Sample 20'!$B$2:$B$21,B142)&gt;0,"是","")</f>
        <v/>
      </c>
      <c r="B142" s="2" t="inlineStr">
        <is>
          <t>21770</t>
        </is>
      </c>
      <c r="C142" s="15" t="inlineStr">
        <is>
          <t>Software Developer</t>
        </is>
      </c>
      <c r="D142" s="15">
        <f>IF(E142&gt;='Scoring Rules'!$B$3,"强",IF(E142&gt;='Scoring Rules'!$B$4,"中","弱"))</f>
        <v/>
      </c>
      <c r="E142" s="125">
        <f>MIN(100,H142+IF(I142&gt;=5,'Scoring Rules'!$B$16,IF(I142&gt;=3,'Scoring Rules'!$B$17,IF(I142&gt;=1,'Scoring Rules'!$B$18,'Scoring Rules'!$B$19)))+IF(L142="是",'Scoring Rules'!$B$22,0)+MIN(J142*'Scoring Rules'!$B$23,'Scoring Rules'!$B$24)+IF(M142="是",'Scoring Rules'!$B$25,0)+MIN((IF(K142="",0,LEN(K142)-LEN(SUBSTITUTE(K142,";",""))+1))*'Scoring Rules'!$B$26,'Scoring Rules'!$B$27)+IF(N142="是",'Scoring Rules'!$B$28,0)+IF(O142="是",'Scoring Rules'!$B$29,0)+IF(P142="是",'Scoring Rules'!$B$30,0)+IF(Q142="是",'Scoring Rules'!$B$31,0)+IF(R142="是",'Scoring Rules'!$B$32,0)+IF(S142&gt;=8000,'Scoring Rules'!$B$35,IF(S142&gt;=4000,'Scoring Rules'!$B$36,IF(S142&gt;=2000,'Scoring Rules'!$B$37,'Scoring Rules'!$B$38))))</f>
        <v/>
      </c>
      <c r="F142" s="15" t="inlineStr">
        <is>
          <t>Standard</t>
        </is>
      </c>
      <c r="G142" s="15" t="inlineStr">
        <is>
          <t>Bachelor</t>
        </is>
      </c>
      <c r="H142" s="15" t="n">
        <v>12</v>
      </c>
      <c r="I142" s="15" t="n">
        <v>2</v>
      </c>
      <c r="J142" s="15" t="n">
        <v>22</v>
      </c>
      <c r="K142" s="15" t="inlineStr">
        <is>
          <t>Oracle/Java</t>
        </is>
      </c>
      <c r="L142" s="15" t="inlineStr">
        <is>
          <t>是</t>
        </is>
      </c>
      <c r="M142" s="15" t="str"/>
      <c r="N142" s="15" t="str"/>
      <c r="O142" s="15" t="str"/>
      <c r="P142" s="15" t="str"/>
      <c r="Q142" s="15" t="inlineStr">
        <is>
          <t>是</t>
        </is>
      </c>
      <c r="R142" s="15" t="inlineStr">
        <is>
          <t>是</t>
        </is>
      </c>
      <c r="S142" s="15" t="n">
        <v>5588</v>
      </c>
      <c r="T142" s="15" t="inlineStr">
        <is>
          <t>Frontend; Backend/API; Mobile; Data/Database; Cloud/DevOps</t>
        </is>
      </c>
      <c r="U142" s="15" t="inlineStr">
        <is>
          <t>Healthcare; Technology</t>
        </is>
      </c>
      <c r="V142" s="15" t="inlineStr">
        <is>
          <t>C:\Workspace\java\scrape_indeed\soft_dav_part_1\2204.html#22123</t>
        </is>
      </c>
    </row>
    <row r="143">
      <c r="A143" s="2">
        <f>IF(COUNTIF('Sample 20'!$B$2:$B$21,B143)&gt;0,"是","")</f>
        <v/>
      </c>
      <c r="B143" s="2" t="inlineStr">
        <is>
          <t>21779</t>
        </is>
      </c>
      <c r="C143" s="15" t="inlineStr">
        <is>
          <t>Software Developer</t>
        </is>
      </c>
      <c r="D143" s="15">
        <f>IF(E143&gt;='Scoring Rules'!$B$3,"强",IF(E143&gt;='Scoring Rules'!$B$4,"中","弱"))</f>
        <v/>
      </c>
      <c r="E143" s="125">
        <f>MIN(100,H143+IF(I143&gt;=5,'Scoring Rules'!$B$16,IF(I143&gt;=3,'Scoring Rules'!$B$17,IF(I143&gt;=1,'Scoring Rules'!$B$18,'Scoring Rules'!$B$19)))+IF(L143="是",'Scoring Rules'!$B$22,0)+MIN(J143*'Scoring Rules'!$B$23,'Scoring Rules'!$B$24)+IF(M143="是",'Scoring Rules'!$B$25,0)+MIN((IF(K143="",0,LEN(K143)-LEN(SUBSTITUTE(K143,";",""))+1))*'Scoring Rules'!$B$26,'Scoring Rules'!$B$27)+IF(N143="是",'Scoring Rules'!$B$28,0)+IF(O143="是",'Scoring Rules'!$B$29,0)+IF(P143="是",'Scoring Rules'!$B$30,0)+IF(Q143="是",'Scoring Rules'!$B$31,0)+IF(R143="是",'Scoring Rules'!$B$32,0)+IF(S143&gt;=8000,'Scoring Rules'!$B$35,IF(S143&gt;=4000,'Scoring Rules'!$B$36,IF(S143&gt;=2000,'Scoring Rules'!$B$37,'Scoring Rules'!$B$38))))</f>
        <v/>
      </c>
      <c r="F143" s="15" t="inlineStr">
        <is>
          <t>Standard</t>
        </is>
      </c>
      <c r="G143" s="15" t="inlineStr">
        <is>
          <t>Master</t>
        </is>
      </c>
      <c r="H143" s="15" t="n">
        <v>16</v>
      </c>
      <c r="I143" s="15" t="n">
        <v>3</v>
      </c>
      <c r="J143" s="15" t="n">
        <v>20</v>
      </c>
      <c r="K143" s="15" t="str"/>
      <c r="L143" s="15" t="inlineStr">
        <is>
          <t>是</t>
        </is>
      </c>
      <c r="M143" s="15" t="str"/>
      <c r="N143" s="15" t="str"/>
      <c r="O143" s="15" t="str"/>
      <c r="P143" s="15" t="inlineStr">
        <is>
          <t>是</t>
        </is>
      </c>
      <c r="Q143" s="15" t="inlineStr">
        <is>
          <t>是</t>
        </is>
      </c>
      <c r="R143" s="15" t="inlineStr">
        <is>
          <t>是</t>
        </is>
      </c>
      <c r="S143" s="15" t="n">
        <v>1708</v>
      </c>
      <c r="T143" s="15" t="inlineStr">
        <is>
          <t>Frontend; Backend/API; Data/Database; Cloud/DevOps</t>
        </is>
      </c>
      <c r="U143" s="15" t="inlineStr">
        <is>
          <t>Technology; Education/Research</t>
        </is>
      </c>
      <c r="V143" s="15" t="inlineStr">
        <is>
          <t>C:\Workspace\java\scrape_indeed\soft_dav_part_1\2212.html#22132</t>
        </is>
      </c>
    </row>
    <row r="144">
      <c r="A144" s="2">
        <f>IF(COUNTIF('Sample 20'!$B$2:$B$21,B144)&gt;0,"是","")</f>
        <v/>
      </c>
      <c r="B144" s="2" t="inlineStr">
        <is>
          <t>21780</t>
        </is>
      </c>
      <c r="C144" s="15" t="inlineStr">
        <is>
          <t>Software Developer</t>
        </is>
      </c>
      <c r="D144" s="15" t="inlineStr">
        <is>
          <t>medium</t>
        </is>
      </c>
      <c r="E144" s="125">
        <f>MIN(100,H144+IF(I144&gt;=5,'Scoring Rules'!$B$16,IF(I144&gt;=3,'Scoring Rules'!$B$17,IF(I144&gt;=1,'Scoring Rules'!$B$18,'Scoring Rules'!$B$19)))+IF(L144="是",'Scoring Rules'!$B$22,0)+MIN(J144*'Scoring Rules'!$B$23,'Scoring Rules'!$B$24)+IF(M144="是",'Scoring Rules'!$B$25,0)+MIN((IF(K144="",0,LEN(K144)-LEN(SUBSTITUTE(K144,";",""))+1))*'Scoring Rules'!$B$26,'Scoring Rules'!$B$27)+IF(N144="是",'Scoring Rules'!$B$28,0)+IF(O144="是",'Scoring Rules'!$B$29,0)+IF(P144="是",'Scoring Rules'!$B$30,0)+IF(Q144="是",'Scoring Rules'!$B$31,0)+IF(R144="是",'Scoring Rules'!$B$32,0)+IF(S144&gt;=8000,'Scoring Rules'!$B$35,IF(S144&gt;=4000,'Scoring Rules'!$B$36,IF(S144&gt;=2000,'Scoring Rules'!$B$37,'Scoring Rules'!$B$38))))</f>
        <v/>
      </c>
      <c r="F144" s="15" t="inlineStr">
        <is>
          <t>Standard</t>
        </is>
      </c>
      <c r="G144" s="15" t="inlineStr">
        <is>
          <t>Unspecified</t>
        </is>
      </c>
      <c r="H144" s="15" t="n">
        <v>2</v>
      </c>
      <c r="I144" s="15" t="n">
        <v>2</v>
      </c>
      <c r="J144" s="15" t="n">
        <v>20</v>
      </c>
      <c r="K144" s="15" t="str"/>
      <c r="L144" s="15" t="str"/>
      <c r="M144" s="15" t="str"/>
      <c r="N144" s="15" t="str"/>
      <c r="O144" s="15" t="inlineStr">
        <is>
          <t>是</t>
        </is>
      </c>
      <c r="P144" s="15" t="str"/>
      <c r="Q144" s="15" t="str"/>
      <c r="R144" s="15" t="inlineStr">
        <is>
          <t>是</t>
        </is>
      </c>
      <c r="S144" s="15" t="n">
        <v>2145</v>
      </c>
      <c r="T144" s="15" t="inlineStr">
        <is>
          <t>Frontend; Backend/API; Mobile; Data/Database</t>
        </is>
      </c>
      <c r="U144" s="15" t="inlineStr">
        <is>
          <t>Technology; Education/Research</t>
        </is>
      </c>
      <c r="V144" s="15" t="inlineStr">
        <is>
          <t>C:\Workspace\java\scrape_indeed\soft_dav_part_1\2213.html#22133</t>
        </is>
      </c>
    </row>
    <row r="145">
      <c r="A145" s="2">
        <f>IF(COUNTIF('Sample 20'!$B$2:$B$21,B145)&gt;0,"是","")</f>
        <v/>
      </c>
      <c r="B145" s="2" t="inlineStr">
        <is>
          <t>21783</t>
        </is>
      </c>
      <c r="C145" s="15" t="inlineStr">
        <is>
          <t>Software Developer</t>
        </is>
      </c>
      <c r="D145" s="15">
        <f>IF(E145&gt;='Scoring Rules'!$B$3,"强",IF(E145&gt;='Scoring Rules'!$B$4,"中","弱"))</f>
        <v/>
      </c>
      <c r="E145" s="125">
        <f>MIN(100,H145+IF(I145&gt;=5,'Scoring Rules'!$B$16,IF(I145&gt;=3,'Scoring Rules'!$B$17,IF(I145&gt;=1,'Scoring Rules'!$B$18,'Scoring Rules'!$B$19)))+IF(L145="是",'Scoring Rules'!$B$22,0)+MIN(J145*'Scoring Rules'!$B$23,'Scoring Rules'!$B$24)+IF(M145="是",'Scoring Rules'!$B$25,0)+MIN((IF(K145="",0,LEN(K145)-LEN(SUBSTITUTE(K145,";",""))+1))*'Scoring Rules'!$B$26,'Scoring Rules'!$B$27)+IF(N145="是",'Scoring Rules'!$B$28,0)+IF(O145="是",'Scoring Rules'!$B$29,0)+IF(P145="是",'Scoring Rules'!$B$30,0)+IF(Q145="是",'Scoring Rules'!$B$31,0)+IF(R145="是",'Scoring Rules'!$B$32,0)+IF(S145&gt;=8000,'Scoring Rules'!$B$35,IF(S145&gt;=4000,'Scoring Rules'!$B$36,IF(S145&gt;=2000,'Scoring Rules'!$B$37,'Scoring Rules'!$B$38))))</f>
        <v/>
      </c>
      <c r="F145" s="15" t="inlineStr">
        <is>
          <t>Standard</t>
        </is>
      </c>
      <c r="G145" s="15" t="inlineStr">
        <is>
          <t>Master</t>
        </is>
      </c>
      <c r="H145" s="15" t="n">
        <v>16</v>
      </c>
      <c r="I145" s="15" t="n">
        <v>1</v>
      </c>
      <c r="J145" s="15" t="n">
        <v>18</v>
      </c>
      <c r="K145" s="15" t="str"/>
      <c r="L145" s="15" t="inlineStr">
        <is>
          <t>是</t>
        </is>
      </c>
      <c r="M145" s="15" t="str"/>
      <c r="N145" s="15" t="str"/>
      <c r="O145" s="15" t="inlineStr">
        <is>
          <t>是</t>
        </is>
      </c>
      <c r="P145" s="15" t="str"/>
      <c r="Q145" s="15" t="inlineStr">
        <is>
          <t>是</t>
        </is>
      </c>
      <c r="R145" s="15" t="inlineStr">
        <is>
          <t>是</t>
        </is>
      </c>
      <c r="S145" s="15" t="n">
        <v>3696</v>
      </c>
      <c r="T145" s="15" t="inlineStr">
        <is>
          <t>Frontend; Backend/API; Data/Database</t>
        </is>
      </c>
      <c r="U145" s="15" t="inlineStr">
        <is>
          <t>Technology</t>
        </is>
      </c>
      <c r="V145" s="15" t="inlineStr">
        <is>
          <t>C:\Workspace\java\scrape_indeed\soft_dav_part_1\2216.html#22136</t>
        </is>
      </c>
    </row>
    <row r="146">
      <c r="A146" s="2">
        <f>IF(COUNTIF('Sample 20'!$B$2:$B$21,B146)&gt;0,"是","")</f>
        <v/>
      </c>
      <c r="B146" s="2" t="inlineStr">
        <is>
          <t>21788</t>
        </is>
      </c>
      <c r="C146" s="15" t="inlineStr">
        <is>
          <t>Software Developer</t>
        </is>
      </c>
      <c r="D146" s="15">
        <f>IF(E146&gt;='Scoring Rules'!$B$3,"强",IF(E146&gt;='Scoring Rules'!$B$4,"中","弱"))</f>
        <v/>
      </c>
      <c r="E146" s="125">
        <f>MIN(100,H146+IF(I146&gt;=5,'Scoring Rules'!$B$16,IF(I146&gt;=3,'Scoring Rules'!$B$17,IF(I146&gt;=1,'Scoring Rules'!$B$18,'Scoring Rules'!$B$19)))+IF(L146="是",'Scoring Rules'!$B$22,0)+MIN(J146*'Scoring Rules'!$B$23,'Scoring Rules'!$B$24)+IF(M146="是",'Scoring Rules'!$B$25,0)+MIN((IF(K146="",0,LEN(K146)-LEN(SUBSTITUTE(K146,";",""))+1))*'Scoring Rules'!$B$26,'Scoring Rules'!$B$27)+IF(N146="是",'Scoring Rules'!$B$28,0)+IF(O146="是",'Scoring Rules'!$B$29,0)+IF(P146="是",'Scoring Rules'!$B$30,0)+IF(Q146="是",'Scoring Rules'!$B$31,0)+IF(R146="是",'Scoring Rules'!$B$32,0)+IF(S146&gt;=8000,'Scoring Rules'!$B$35,IF(S146&gt;=4000,'Scoring Rules'!$B$36,IF(S146&gt;=2000,'Scoring Rules'!$B$37,'Scoring Rules'!$B$38))))</f>
        <v/>
      </c>
      <c r="F146" s="15" t="inlineStr">
        <is>
          <t>Standard</t>
        </is>
      </c>
      <c r="G146" s="15" t="inlineStr">
        <is>
          <t>Master</t>
        </is>
      </c>
      <c r="H146" s="15" t="n">
        <v>16</v>
      </c>
      <c r="I146" s="15" t="n">
        <v>2</v>
      </c>
      <c r="J146" s="15" t="n">
        <v>15</v>
      </c>
      <c r="K146" s="15" t="str"/>
      <c r="L146" s="15" t="inlineStr">
        <is>
          <t>是</t>
        </is>
      </c>
      <c r="M146" s="15" t="str"/>
      <c r="N146" s="15" t="str"/>
      <c r="O146" s="15" t="str"/>
      <c r="P146" s="15" t="str"/>
      <c r="Q146" s="15" t="str"/>
      <c r="R146" s="15" t="str"/>
      <c r="S146" s="15" t="n">
        <v>1604</v>
      </c>
      <c r="T146" s="15" t="inlineStr">
        <is>
          <t>Frontend; Backend/API; Data/Database; Testing/Automation</t>
        </is>
      </c>
      <c r="U146" s="15" t="inlineStr">
        <is>
          <t>Government/Defense; Technology; Education/Research; Manufacturing/Automotive</t>
        </is>
      </c>
      <c r="V146" s="15" t="inlineStr">
        <is>
          <t>C:\Workspace\java\scrape_indeed\soft_dav_part_1\2220.html#22141</t>
        </is>
      </c>
    </row>
    <row r="147">
      <c r="A147" s="2">
        <f>IF(COUNTIF('Sample 20'!$B$2:$B$21,B147)&gt;0,"是","")</f>
        <v/>
      </c>
      <c r="B147" s="2" t="inlineStr">
        <is>
          <t>21789</t>
        </is>
      </c>
      <c r="C147" s="15" t="inlineStr">
        <is>
          <t>Software Developer</t>
        </is>
      </c>
      <c r="D147" s="15">
        <f>IF(E147&gt;='Scoring Rules'!$B$3,"强",IF(E147&gt;='Scoring Rules'!$B$4,"中","弱"))</f>
        <v/>
      </c>
      <c r="E147" s="125">
        <f>MIN(100,H147+IF(I147&gt;=5,'Scoring Rules'!$B$16,IF(I147&gt;=3,'Scoring Rules'!$B$17,IF(I147&gt;=1,'Scoring Rules'!$B$18,'Scoring Rules'!$B$19)))+IF(L147="是",'Scoring Rules'!$B$22,0)+MIN(J147*'Scoring Rules'!$B$23,'Scoring Rules'!$B$24)+IF(M147="是",'Scoring Rules'!$B$25,0)+MIN((IF(K147="",0,LEN(K147)-LEN(SUBSTITUTE(K147,";",""))+1))*'Scoring Rules'!$B$26,'Scoring Rules'!$B$27)+IF(N147="是",'Scoring Rules'!$B$28,0)+IF(O147="是",'Scoring Rules'!$B$29,0)+IF(P147="是",'Scoring Rules'!$B$30,0)+IF(Q147="是",'Scoring Rules'!$B$31,0)+IF(R147="是",'Scoring Rules'!$B$32,0)+IF(S147&gt;=8000,'Scoring Rules'!$B$35,IF(S147&gt;=4000,'Scoring Rules'!$B$36,IF(S147&gt;=2000,'Scoring Rules'!$B$37,'Scoring Rules'!$B$38))))</f>
        <v/>
      </c>
      <c r="F147" s="15" t="inlineStr">
        <is>
          <t>Standard</t>
        </is>
      </c>
      <c r="G147" s="15" t="inlineStr">
        <is>
          <t>Master</t>
        </is>
      </c>
      <c r="H147" s="15" t="n">
        <v>16</v>
      </c>
      <c r="I147" s="15" t="n">
        <v>4</v>
      </c>
      <c r="J147" s="15" t="n">
        <v>10</v>
      </c>
      <c r="K147" s="15" t="str"/>
      <c r="L147" s="15" t="inlineStr">
        <is>
          <t>是</t>
        </is>
      </c>
      <c r="M147" s="15" t="str"/>
      <c r="N147" s="15" t="str"/>
      <c r="O147" s="15" t="str"/>
      <c r="P147" s="15" t="inlineStr">
        <is>
          <t>是</t>
        </is>
      </c>
      <c r="Q147" s="15" t="inlineStr">
        <is>
          <t>是</t>
        </is>
      </c>
      <c r="R147" s="15" t="inlineStr">
        <is>
          <t>是</t>
        </is>
      </c>
      <c r="S147" s="15" t="n">
        <v>5359</v>
      </c>
      <c r="T147" s="15" t="inlineStr">
        <is>
          <t>Backend/API; Data/Database; Embedded/Systems; Testing/Automation</t>
        </is>
      </c>
      <c r="U147" s="15" t="inlineStr">
        <is>
          <t>Finance/Banking; Technology; Telecom; Education/Research</t>
        </is>
      </c>
      <c r="V147" s="15" t="inlineStr">
        <is>
          <t>C:\Workspace\java\scrape_indeed\soft_dav_part_1\2221.html#22142</t>
        </is>
      </c>
    </row>
    <row r="148">
      <c r="A148" s="2">
        <f>IF(COUNTIF('Sample 20'!$B$2:$B$21,B148)&gt;0,"是","")</f>
        <v/>
      </c>
      <c r="B148" s="2" t="inlineStr">
        <is>
          <t>21790</t>
        </is>
      </c>
      <c r="C148" s="15" t="inlineStr">
        <is>
          <t>Software Developer</t>
        </is>
      </c>
      <c r="D148" s="15">
        <f>IF(E148&gt;='Scoring Rules'!$B$3,"强",IF(E148&gt;='Scoring Rules'!$B$4,"中","弱"))</f>
        <v/>
      </c>
      <c r="E148" s="125">
        <f>MIN(100,H148+IF(I148&gt;=5,'Scoring Rules'!$B$16,IF(I148&gt;=3,'Scoring Rules'!$B$17,IF(I148&gt;=1,'Scoring Rules'!$B$18,'Scoring Rules'!$B$19)))+IF(L148="是",'Scoring Rules'!$B$22,0)+MIN(J148*'Scoring Rules'!$B$23,'Scoring Rules'!$B$24)+IF(M148="是",'Scoring Rules'!$B$25,0)+MIN((IF(K148="",0,LEN(K148)-LEN(SUBSTITUTE(K148,";",""))+1))*'Scoring Rules'!$B$26,'Scoring Rules'!$B$27)+IF(N148="是",'Scoring Rules'!$B$28,0)+IF(O148="是",'Scoring Rules'!$B$29,0)+IF(P148="是",'Scoring Rules'!$B$30,0)+IF(Q148="是",'Scoring Rules'!$B$31,0)+IF(R148="是",'Scoring Rules'!$B$32,0)+IF(S148&gt;=8000,'Scoring Rules'!$B$35,IF(S148&gt;=4000,'Scoring Rules'!$B$36,IF(S148&gt;=2000,'Scoring Rules'!$B$37,'Scoring Rules'!$B$38))))</f>
        <v/>
      </c>
      <c r="F148" s="15" t="inlineStr">
        <is>
          <t>Standard</t>
        </is>
      </c>
      <c r="G148" s="15" t="inlineStr">
        <is>
          <t>Unspecified</t>
        </is>
      </c>
      <c r="H148" s="15" t="n">
        <v>2</v>
      </c>
      <c r="I148" s="15" t="n">
        <v>3</v>
      </c>
      <c r="J148" s="15" t="n">
        <v>19</v>
      </c>
      <c r="K148" s="15" t="str"/>
      <c r="L148" s="15" t="inlineStr">
        <is>
          <t>是</t>
        </is>
      </c>
      <c r="M148" s="15" t="str"/>
      <c r="N148" s="15" t="str"/>
      <c r="O148" s="15" t="inlineStr">
        <is>
          <t>是</t>
        </is>
      </c>
      <c r="P148" s="15" t="str"/>
      <c r="Q148" s="15" t="str"/>
      <c r="R148" s="15" t="inlineStr">
        <is>
          <t>是</t>
        </is>
      </c>
      <c r="S148" s="15" t="n">
        <v>2963</v>
      </c>
      <c r="T148" s="15" t="inlineStr">
        <is>
          <t>Frontend; Backend/API; Data/Database</t>
        </is>
      </c>
      <c r="U148" s="15" t="inlineStr">
        <is>
          <t>Technology; Education/Research; Retail/E-commerce</t>
        </is>
      </c>
      <c r="V148" s="15" t="inlineStr">
        <is>
          <t>C:\Workspace\java\scrape_indeed\soft_dav_part_1\2222.html#22143</t>
        </is>
      </c>
    </row>
    <row r="149">
      <c r="A149" s="2">
        <f>IF(COUNTIF('Sample 20'!$B$2:$B$21,B149)&gt;0,"是","")</f>
        <v/>
      </c>
      <c r="B149" s="2" t="inlineStr">
        <is>
          <t>21802</t>
        </is>
      </c>
      <c r="C149" s="15" t="inlineStr">
        <is>
          <t>Software Developer</t>
        </is>
      </c>
      <c r="D149" s="15">
        <f>IF(E149&gt;='Scoring Rules'!$B$3,"强",IF(E149&gt;='Scoring Rules'!$B$4,"中","弱"))</f>
        <v/>
      </c>
      <c r="E149" s="125">
        <f>MIN(100,H149+IF(I149&gt;=5,'Scoring Rules'!$B$16,IF(I149&gt;=3,'Scoring Rules'!$B$17,IF(I149&gt;=1,'Scoring Rules'!$B$18,'Scoring Rules'!$B$19)))+IF(L149="是",'Scoring Rules'!$B$22,0)+MIN(J149*'Scoring Rules'!$B$23,'Scoring Rules'!$B$24)+IF(M149="是",'Scoring Rules'!$B$25,0)+MIN((IF(K149="",0,LEN(K149)-LEN(SUBSTITUTE(K149,";",""))+1))*'Scoring Rules'!$B$26,'Scoring Rules'!$B$27)+IF(N149="是",'Scoring Rules'!$B$28,0)+IF(O149="是",'Scoring Rules'!$B$29,0)+IF(P149="是",'Scoring Rules'!$B$30,0)+IF(Q149="是",'Scoring Rules'!$B$31,0)+IF(R149="是",'Scoring Rules'!$B$32,0)+IF(S149&gt;=8000,'Scoring Rules'!$B$35,IF(S149&gt;=4000,'Scoring Rules'!$B$36,IF(S149&gt;=2000,'Scoring Rules'!$B$37,'Scoring Rules'!$B$38))))</f>
        <v/>
      </c>
      <c r="F149" s="15" t="inlineStr">
        <is>
          <t>Standard</t>
        </is>
      </c>
      <c r="G149" s="15" t="inlineStr">
        <is>
          <t>Unspecified</t>
        </is>
      </c>
      <c r="H149" s="15" t="n">
        <v>2</v>
      </c>
      <c r="I149" s="15" t="n">
        <v>1</v>
      </c>
      <c r="J149" s="15" t="n">
        <v>6</v>
      </c>
      <c r="K149" s="15" t="str"/>
      <c r="L149" s="15" t="inlineStr">
        <is>
          <t>是</t>
        </is>
      </c>
      <c r="M149" s="15" t="str"/>
      <c r="N149" s="15" t="str"/>
      <c r="O149" s="15" t="str"/>
      <c r="P149" s="15" t="str"/>
      <c r="Q149" s="15" t="str"/>
      <c r="R149" s="15" t="str"/>
      <c r="S149" s="15" t="n">
        <v>1254</v>
      </c>
      <c r="T149" s="15" t="inlineStr">
        <is>
          <t>Frontend; Backend/API; Mobile</t>
        </is>
      </c>
      <c r="U149" s="15" t="inlineStr">
        <is>
          <t>Technology; Retail/E-commerce</t>
        </is>
      </c>
      <c r="V149" s="15" t="inlineStr">
        <is>
          <t>C:\Workspace\java\scrape_indeed\soft_dav_part_1\2234.html#22156</t>
        </is>
      </c>
    </row>
    <row r="150">
      <c r="A150" s="2">
        <f>IF(COUNTIF('Sample 20'!$B$2:$B$21,B150)&gt;0,"是","")</f>
        <v/>
      </c>
      <c r="B150" s="2" t="inlineStr">
        <is>
          <t>21804</t>
        </is>
      </c>
      <c r="C150" s="15" t="inlineStr">
        <is>
          <t>Software Developer</t>
        </is>
      </c>
      <c r="D150" s="15">
        <f>IF(E150&gt;='Scoring Rules'!$B$3,"强",IF(E150&gt;='Scoring Rules'!$B$4,"中","弱"))</f>
        <v/>
      </c>
      <c r="E150" s="125">
        <f>MIN(100,H150+IF(I150&gt;=5,'Scoring Rules'!$B$16,IF(I150&gt;=3,'Scoring Rules'!$B$17,IF(I150&gt;=1,'Scoring Rules'!$B$18,'Scoring Rules'!$B$19)))+IF(L150="是",'Scoring Rules'!$B$22,0)+MIN(J150*'Scoring Rules'!$B$23,'Scoring Rules'!$B$24)+IF(M150="是",'Scoring Rules'!$B$25,0)+MIN((IF(K150="",0,LEN(K150)-LEN(SUBSTITUTE(K150,";",""))+1))*'Scoring Rules'!$B$26,'Scoring Rules'!$B$27)+IF(N150="是",'Scoring Rules'!$B$28,0)+IF(O150="是",'Scoring Rules'!$B$29,0)+IF(P150="是",'Scoring Rules'!$B$30,0)+IF(Q150="是",'Scoring Rules'!$B$31,0)+IF(R150="是",'Scoring Rules'!$B$32,0)+IF(S150&gt;=8000,'Scoring Rules'!$B$35,IF(S150&gt;=4000,'Scoring Rules'!$B$36,IF(S150&gt;=2000,'Scoring Rules'!$B$37,'Scoring Rules'!$B$38))))</f>
        <v/>
      </c>
      <c r="F150" s="15" t="inlineStr">
        <is>
          <t>Standard</t>
        </is>
      </c>
      <c r="G150" s="15" t="inlineStr">
        <is>
          <t>Bachelor</t>
        </is>
      </c>
      <c r="H150" s="15" t="n">
        <v>12</v>
      </c>
      <c r="I150" s="15" t="n">
        <v>3</v>
      </c>
      <c r="J150" s="15" t="n">
        <v>17</v>
      </c>
      <c r="K150" s="15" t="str"/>
      <c r="L150" s="15" t="inlineStr">
        <is>
          <t>是</t>
        </is>
      </c>
      <c r="M150" s="15" t="str"/>
      <c r="N150" s="15" t="str"/>
      <c r="O150" s="15" t="str"/>
      <c r="P150" s="15" t="str"/>
      <c r="Q150" s="15" t="inlineStr">
        <is>
          <t>是</t>
        </is>
      </c>
      <c r="R150" s="15" t="str"/>
      <c r="S150" s="15" t="n">
        <v>1896</v>
      </c>
      <c r="T150" s="15" t="inlineStr">
        <is>
          <t>Frontend; Backend/API; Mobile; Data/Database; Embedded/Systems</t>
        </is>
      </c>
      <c r="U150" s="15" t="inlineStr">
        <is>
          <t>Technology; Education/Research</t>
        </is>
      </c>
      <c r="V150" s="15" t="inlineStr">
        <is>
          <t>C:\Workspace\java\scrape_indeed\soft_dav_part_1\2236.html#22158</t>
        </is>
      </c>
    </row>
    <row r="151">
      <c r="A151" s="2">
        <f>IF(COUNTIF('Sample 20'!$B$2:$B$21,B151)&gt;0,"是","")</f>
        <v/>
      </c>
      <c r="B151" s="2" t="inlineStr">
        <is>
          <t>21805</t>
        </is>
      </c>
      <c r="C151" s="15" t="inlineStr">
        <is>
          <t>SOFTWARE DEVELOPER</t>
        </is>
      </c>
      <c r="D151" s="15">
        <f>IF(E151&gt;='Scoring Rules'!$B$3,"强",IF(E151&gt;='Scoring Rules'!$B$4,"中","弱"))</f>
        <v/>
      </c>
      <c r="E151" s="125">
        <f>MIN(100,H151+IF(I151&gt;=5,'Scoring Rules'!$B$16,IF(I151&gt;=3,'Scoring Rules'!$B$17,IF(I151&gt;=1,'Scoring Rules'!$B$18,'Scoring Rules'!$B$19)))+IF(L151="是",'Scoring Rules'!$B$22,0)+MIN(J151*'Scoring Rules'!$B$23,'Scoring Rules'!$B$24)+IF(M151="是",'Scoring Rules'!$B$25,0)+MIN((IF(K151="",0,LEN(K151)-LEN(SUBSTITUTE(K151,";",""))+1))*'Scoring Rules'!$B$26,'Scoring Rules'!$B$27)+IF(N151="是",'Scoring Rules'!$B$28,0)+IF(O151="是",'Scoring Rules'!$B$29,0)+IF(P151="是",'Scoring Rules'!$B$30,0)+IF(Q151="是",'Scoring Rules'!$B$31,0)+IF(R151="是",'Scoring Rules'!$B$32,0)+IF(S151&gt;=8000,'Scoring Rules'!$B$35,IF(S151&gt;=4000,'Scoring Rules'!$B$36,IF(S151&gt;=2000,'Scoring Rules'!$B$37,'Scoring Rules'!$B$38))))</f>
        <v/>
      </c>
      <c r="F151" s="15" t="inlineStr">
        <is>
          <t>Standard</t>
        </is>
      </c>
      <c r="G151" s="15" t="inlineStr">
        <is>
          <t>High School</t>
        </is>
      </c>
      <c r="H151" s="15" t="n">
        <v>5</v>
      </c>
      <c r="I151" s="15" t="n">
        <v>2</v>
      </c>
      <c r="J151" s="15" t="n">
        <v>9</v>
      </c>
      <c r="K151" s="15" t="str"/>
      <c r="L151" s="15" t="str"/>
      <c r="M151" s="15" t="str"/>
      <c r="N151" s="15" t="str"/>
      <c r="O151" s="15" t="str"/>
      <c r="P151" s="15" t="str"/>
      <c r="Q151" s="15" t="inlineStr">
        <is>
          <t>是</t>
        </is>
      </c>
      <c r="R151" s="15" t="str"/>
      <c r="S151" s="15" t="n">
        <v>1610</v>
      </c>
      <c r="T151" s="15" t="inlineStr">
        <is>
          <t>Frontend; Backend/API</t>
        </is>
      </c>
      <c r="U151" s="15" t="inlineStr">
        <is>
          <t>Technology</t>
        </is>
      </c>
      <c r="V151" s="15" t="inlineStr">
        <is>
          <t>C:\Workspace\java\scrape_indeed\soft_dav_part_1\2237.html#22159</t>
        </is>
      </c>
    </row>
    <row r="152">
      <c r="A152" s="2">
        <f>IF(COUNTIF('Sample 20'!$B$2:$B$21,B152)&gt;0,"是","")</f>
        <v/>
      </c>
      <c r="B152" s="2" t="inlineStr">
        <is>
          <t>21821</t>
        </is>
      </c>
      <c r="C152" s="15" t="inlineStr">
        <is>
          <t>Software Developer</t>
        </is>
      </c>
      <c r="D152" s="15">
        <f>IF(E152&gt;='Scoring Rules'!$B$3,"强",IF(E152&gt;='Scoring Rules'!$B$4,"中","弱"))</f>
        <v/>
      </c>
      <c r="E152" s="125">
        <f>MIN(100,H152+IF(I152&gt;=5,'Scoring Rules'!$B$16,IF(I152&gt;=3,'Scoring Rules'!$B$17,IF(I152&gt;=1,'Scoring Rules'!$B$18,'Scoring Rules'!$B$19)))+IF(L152="是",'Scoring Rules'!$B$22,0)+MIN(J152*'Scoring Rules'!$B$23,'Scoring Rules'!$B$24)+IF(M152="是",'Scoring Rules'!$B$25,0)+MIN((IF(K152="",0,LEN(K152)-LEN(SUBSTITUTE(K152,";",""))+1))*'Scoring Rules'!$B$26,'Scoring Rules'!$B$27)+IF(N152="是",'Scoring Rules'!$B$28,0)+IF(O152="是",'Scoring Rules'!$B$29,0)+IF(P152="是",'Scoring Rules'!$B$30,0)+IF(Q152="是",'Scoring Rules'!$B$31,0)+IF(R152="是",'Scoring Rules'!$B$32,0)+IF(S152&gt;=8000,'Scoring Rules'!$B$35,IF(S152&gt;=4000,'Scoring Rules'!$B$36,IF(S152&gt;=2000,'Scoring Rules'!$B$37,'Scoring Rules'!$B$38))))</f>
        <v/>
      </c>
      <c r="F152" s="15" t="inlineStr">
        <is>
          <t>Standard</t>
        </is>
      </c>
      <c r="G152" s="15" t="inlineStr">
        <is>
          <t>Certificate</t>
        </is>
      </c>
      <c r="H152" s="15" t="n">
        <v>6</v>
      </c>
      <c r="I152" s="15" t="n">
        <v>2</v>
      </c>
      <c r="J152" s="15" t="n">
        <v>8</v>
      </c>
      <c r="K152" s="15" t="str"/>
      <c r="L152" s="15" t="inlineStr">
        <is>
          <t>是</t>
        </is>
      </c>
      <c r="M152" s="15" t="inlineStr">
        <is>
          <t>是</t>
        </is>
      </c>
      <c r="N152" s="15" t="str"/>
      <c r="O152" s="15" t="str"/>
      <c r="P152" s="15" t="str"/>
      <c r="Q152" s="15" t="inlineStr">
        <is>
          <t>是</t>
        </is>
      </c>
      <c r="R152" s="15" t="inlineStr">
        <is>
          <t>是</t>
        </is>
      </c>
      <c r="S152" s="15" t="n">
        <v>1320</v>
      </c>
      <c r="T152" s="15" t="inlineStr">
        <is>
          <t>Frontend; Backend/API; Data/Database</t>
        </is>
      </c>
      <c r="U152" s="15" t="inlineStr">
        <is>
          <t>Technology; Education/Research</t>
        </is>
      </c>
      <c r="V152" s="15" t="inlineStr">
        <is>
          <t>C:\Workspace\java\scrape_indeed\soft_dav_part_1\2251.html#22175</t>
        </is>
      </c>
    </row>
    <row r="153">
      <c r="A153" s="2">
        <f>IF(COUNTIF('Sample 20'!$B$2:$B$21,B153)&gt;0,"是","")</f>
        <v/>
      </c>
      <c r="B153" s="2" t="inlineStr">
        <is>
          <t>21823</t>
        </is>
      </c>
      <c r="C153" s="15" t="inlineStr">
        <is>
          <t>Software Developer</t>
        </is>
      </c>
      <c r="D153" s="15">
        <f>IF(E153&gt;='Scoring Rules'!$B$3,"强",IF(E153&gt;='Scoring Rules'!$B$4,"中","弱"))</f>
        <v/>
      </c>
      <c r="E153" s="125">
        <f>MIN(100,H153+IF(I153&gt;=5,'Scoring Rules'!$B$16,IF(I153&gt;=3,'Scoring Rules'!$B$17,IF(I153&gt;=1,'Scoring Rules'!$B$18,'Scoring Rules'!$B$19)))+IF(L153="是",'Scoring Rules'!$B$22,0)+MIN(J153*'Scoring Rules'!$B$23,'Scoring Rules'!$B$24)+IF(M153="是",'Scoring Rules'!$B$25,0)+MIN((IF(K153="",0,LEN(K153)-LEN(SUBSTITUTE(K153,";",""))+1))*'Scoring Rules'!$B$26,'Scoring Rules'!$B$27)+IF(N153="是",'Scoring Rules'!$B$28,0)+IF(O153="是",'Scoring Rules'!$B$29,0)+IF(P153="是",'Scoring Rules'!$B$30,0)+IF(Q153="是",'Scoring Rules'!$B$31,0)+IF(R153="是",'Scoring Rules'!$B$32,0)+IF(S153&gt;=8000,'Scoring Rules'!$B$35,IF(S153&gt;=4000,'Scoring Rules'!$B$36,IF(S153&gt;=2000,'Scoring Rules'!$B$37,'Scoring Rules'!$B$38))))</f>
        <v/>
      </c>
      <c r="F153" s="15" t="inlineStr">
        <is>
          <t>Standard</t>
        </is>
      </c>
      <c r="G153" s="15" t="inlineStr">
        <is>
          <t>Master</t>
        </is>
      </c>
      <c r="H153" s="15" t="n">
        <v>16</v>
      </c>
      <c r="I153" s="15" t="n">
        <v>3</v>
      </c>
      <c r="J153" s="15" t="n">
        <v>18</v>
      </c>
      <c r="K153" s="15" t="str"/>
      <c r="L153" s="15" t="inlineStr">
        <is>
          <t>是</t>
        </is>
      </c>
      <c r="M153" s="15" t="str"/>
      <c r="N153" s="15" t="str"/>
      <c r="O153" s="15" t="inlineStr">
        <is>
          <t>是</t>
        </is>
      </c>
      <c r="P153" s="15" t="str"/>
      <c r="Q153" s="15" t="str"/>
      <c r="R153" s="15" t="inlineStr">
        <is>
          <t>是</t>
        </is>
      </c>
      <c r="S153" s="15" t="n">
        <v>4434</v>
      </c>
      <c r="T153" s="15" t="inlineStr">
        <is>
          <t>Frontend; Backend/API; Mobile; Data/Database; Cloud/DevOps; Embedded/Systems; Testing/Automation</t>
        </is>
      </c>
      <c r="U153" s="15" t="inlineStr">
        <is>
          <t>Finance/Banking; Healthcare; Technology; Education/Research</t>
        </is>
      </c>
      <c r="V153" s="15" t="inlineStr">
        <is>
          <t>C:\Workspace\java\scrape_indeed\soft_dav_part_1\2253.html#22177</t>
        </is>
      </c>
    </row>
    <row r="154">
      <c r="A154" s="2">
        <f>IF(COUNTIF('Sample 20'!$B$2:$B$21,B154)&gt;0,"是","")</f>
        <v/>
      </c>
      <c r="B154" s="2" t="inlineStr">
        <is>
          <t>21838</t>
        </is>
      </c>
      <c r="C154" s="15" t="inlineStr">
        <is>
          <t>Software Developer</t>
        </is>
      </c>
      <c r="D154" s="15">
        <f>IF(E154&gt;='Scoring Rules'!$B$3,"强",IF(E154&gt;='Scoring Rules'!$B$4,"中","弱"))</f>
        <v/>
      </c>
      <c r="E154" s="125">
        <f>MIN(100,H154+IF(I154&gt;=5,'Scoring Rules'!$B$16,IF(I154&gt;=3,'Scoring Rules'!$B$17,IF(I154&gt;=1,'Scoring Rules'!$B$18,'Scoring Rules'!$B$19)))+IF(L154="是",'Scoring Rules'!$B$22,0)+MIN(J154*'Scoring Rules'!$B$23,'Scoring Rules'!$B$24)+IF(M154="是",'Scoring Rules'!$B$25,0)+MIN((IF(K154="",0,LEN(K154)-LEN(SUBSTITUTE(K154,";",""))+1))*'Scoring Rules'!$B$26,'Scoring Rules'!$B$27)+IF(N154="是",'Scoring Rules'!$B$28,0)+IF(O154="是",'Scoring Rules'!$B$29,0)+IF(P154="是",'Scoring Rules'!$B$30,0)+IF(Q154="是",'Scoring Rules'!$B$31,0)+IF(R154="是",'Scoring Rules'!$B$32,0)+IF(S154&gt;=8000,'Scoring Rules'!$B$35,IF(S154&gt;=4000,'Scoring Rules'!$B$36,IF(S154&gt;=2000,'Scoring Rules'!$B$37,'Scoring Rules'!$B$38))))</f>
        <v/>
      </c>
      <c r="F154" s="15" t="inlineStr">
        <is>
          <t>Standard</t>
        </is>
      </c>
      <c r="G154" s="15" t="inlineStr">
        <is>
          <t>Bachelor</t>
        </is>
      </c>
      <c r="H154" s="15" t="n">
        <v>12</v>
      </c>
      <c r="I154" s="15" t="n">
        <v>4</v>
      </c>
      <c r="J154" s="15" t="n">
        <v>7</v>
      </c>
      <c r="K154" s="15" t="str"/>
      <c r="L154" s="15" t="inlineStr">
        <is>
          <t>是</t>
        </is>
      </c>
      <c r="M154" s="15" t="str"/>
      <c r="N154" s="15" t="str"/>
      <c r="O154" s="15" t="str"/>
      <c r="P154" s="15" t="str"/>
      <c r="Q154" s="15" t="inlineStr">
        <is>
          <t>是</t>
        </is>
      </c>
      <c r="R154" s="15" t="inlineStr">
        <is>
          <t>是</t>
        </is>
      </c>
      <c r="S154" s="15" t="n">
        <v>1927</v>
      </c>
      <c r="T154" s="15" t="inlineStr">
        <is>
          <t>Frontend; Backend/API; Embedded/Systems</t>
        </is>
      </c>
      <c r="U154" s="15" t="inlineStr">
        <is>
          <t>Technology; Consulting; Manufacturing/Automotive</t>
        </is>
      </c>
      <c r="V154" s="15" t="inlineStr">
        <is>
          <t>C:\Workspace\java\scrape_indeed\soft_dav_part_1\227.html#22195</t>
        </is>
      </c>
    </row>
    <row r="155">
      <c r="A155" s="2">
        <f>IF(COUNTIF('Sample 20'!$B$2:$B$21,B155)&gt;0,"是","")</f>
        <v/>
      </c>
      <c r="B155" s="2" t="inlineStr">
        <is>
          <t>21853</t>
        </is>
      </c>
      <c r="C155" s="15" t="inlineStr">
        <is>
          <t>software Developer</t>
        </is>
      </c>
      <c r="D155" s="15">
        <f>IF(E155&gt;='Scoring Rules'!$B$3,"强",IF(E155&gt;='Scoring Rules'!$B$4,"中","弱"))</f>
        <v/>
      </c>
      <c r="E155" s="125">
        <f>MIN(100,H155+IF(I155&gt;=5,'Scoring Rules'!$B$16,IF(I155&gt;=3,'Scoring Rules'!$B$17,IF(I155&gt;=1,'Scoring Rules'!$B$18,'Scoring Rules'!$B$19)))+IF(L155="是",'Scoring Rules'!$B$22,0)+MIN(J155*'Scoring Rules'!$B$23,'Scoring Rules'!$B$24)+IF(M155="是",'Scoring Rules'!$B$25,0)+MIN((IF(K155="",0,LEN(K155)-LEN(SUBSTITUTE(K155,";",""))+1))*'Scoring Rules'!$B$26,'Scoring Rules'!$B$27)+IF(N155="是",'Scoring Rules'!$B$28,0)+IF(O155="是",'Scoring Rules'!$B$29,0)+IF(P155="是",'Scoring Rules'!$B$30,0)+IF(Q155="是",'Scoring Rules'!$B$31,0)+IF(R155="是",'Scoring Rules'!$B$32,0)+IF(S155&gt;=8000,'Scoring Rules'!$B$35,IF(S155&gt;=4000,'Scoring Rules'!$B$36,IF(S155&gt;=2000,'Scoring Rules'!$B$37,'Scoring Rules'!$B$38))))</f>
        <v/>
      </c>
      <c r="F155" s="15" t="inlineStr">
        <is>
          <t>Standard</t>
        </is>
      </c>
      <c r="G155" s="15" t="inlineStr">
        <is>
          <t>Bachelor</t>
        </is>
      </c>
      <c r="H155" s="15" t="n">
        <v>12</v>
      </c>
      <c r="I155" s="15" t="n">
        <v>9</v>
      </c>
      <c r="J155" s="15" t="n">
        <v>15</v>
      </c>
      <c r="K155" s="15" t="str"/>
      <c r="L155" s="15" t="inlineStr">
        <is>
          <t>是</t>
        </is>
      </c>
      <c r="M155" s="15" t="str"/>
      <c r="N155" s="15" t="str"/>
      <c r="O155" s="15" t="inlineStr">
        <is>
          <t>是</t>
        </is>
      </c>
      <c r="P155" s="15" t="inlineStr">
        <is>
          <t>是</t>
        </is>
      </c>
      <c r="Q155" s="15" t="inlineStr">
        <is>
          <t>是</t>
        </is>
      </c>
      <c r="R155" s="15" t="inlineStr">
        <is>
          <t>是</t>
        </is>
      </c>
      <c r="S155" s="15" t="n">
        <v>9763</v>
      </c>
      <c r="T155" s="15" t="inlineStr">
        <is>
          <t>Frontend; Backend/API; Data/Database; Testing/Automation</t>
        </is>
      </c>
      <c r="U155" s="15" t="inlineStr">
        <is>
          <t>Finance/Banking; Technology; Education/Research; Manufacturing/Automotive</t>
        </is>
      </c>
      <c r="V155" s="15" t="inlineStr">
        <is>
          <t>C:\Workspace\java\scrape_indeed\soft_dav_part_1\2283.html#22210</t>
        </is>
      </c>
    </row>
    <row r="156">
      <c r="A156" s="2">
        <f>IF(COUNTIF('Sample 20'!$B$2:$B$21,B156)&gt;0,"是","")</f>
        <v/>
      </c>
      <c r="B156" s="2" t="inlineStr">
        <is>
          <t>21855</t>
        </is>
      </c>
      <c r="C156" s="15" t="inlineStr">
        <is>
          <t>Software Developer</t>
        </is>
      </c>
      <c r="D156" s="15">
        <f>IF(E156&gt;='Scoring Rules'!$B$3,"强",IF(E156&gt;='Scoring Rules'!$B$4,"中","弱"))</f>
        <v/>
      </c>
      <c r="E156" s="125">
        <f>MIN(100,H156+IF(I156&gt;=5,'Scoring Rules'!$B$16,IF(I156&gt;=3,'Scoring Rules'!$B$17,IF(I156&gt;=1,'Scoring Rules'!$B$18,'Scoring Rules'!$B$19)))+IF(L156="是",'Scoring Rules'!$B$22,0)+MIN(J156*'Scoring Rules'!$B$23,'Scoring Rules'!$B$24)+IF(M156="是",'Scoring Rules'!$B$25,0)+MIN((IF(K156="",0,LEN(K156)-LEN(SUBSTITUTE(K156,";",""))+1))*'Scoring Rules'!$B$26,'Scoring Rules'!$B$27)+IF(N156="是",'Scoring Rules'!$B$28,0)+IF(O156="是",'Scoring Rules'!$B$29,0)+IF(P156="是",'Scoring Rules'!$B$30,0)+IF(Q156="是",'Scoring Rules'!$B$31,0)+IF(R156="是",'Scoring Rules'!$B$32,0)+IF(S156&gt;=8000,'Scoring Rules'!$B$35,IF(S156&gt;=4000,'Scoring Rules'!$B$36,IF(S156&gt;=2000,'Scoring Rules'!$B$37,'Scoring Rules'!$B$38))))</f>
        <v/>
      </c>
      <c r="F156" s="15" t="inlineStr">
        <is>
          <t>Standard</t>
        </is>
      </c>
      <c r="G156" s="15" t="inlineStr">
        <is>
          <t>Unspecified</t>
        </is>
      </c>
      <c r="H156" s="15" t="n">
        <v>2</v>
      </c>
      <c r="I156" s="15" t="n">
        <v>4</v>
      </c>
      <c r="J156" s="15" t="n">
        <v>13</v>
      </c>
      <c r="K156" s="15" t="str"/>
      <c r="L156" s="15" t="inlineStr">
        <is>
          <t>是</t>
        </is>
      </c>
      <c r="M156" s="15" t="inlineStr">
        <is>
          <t>是</t>
        </is>
      </c>
      <c r="N156" s="15" t="str"/>
      <c r="O156" s="15" t="inlineStr">
        <is>
          <t>是</t>
        </is>
      </c>
      <c r="P156" s="15" t="inlineStr">
        <is>
          <t>是</t>
        </is>
      </c>
      <c r="Q156" s="15" t="str"/>
      <c r="R156" s="15" t="inlineStr">
        <is>
          <t>是</t>
        </is>
      </c>
      <c r="S156" s="15" t="n">
        <v>4189</v>
      </c>
      <c r="T156" s="15" t="inlineStr">
        <is>
          <t>Frontend; Backend/API; Data/Database</t>
        </is>
      </c>
      <c r="U156" s="15" t="inlineStr">
        <is>
          <t>Technology; Education/Research; Manufacturing/Automotive</t>
        </is>
      </c>
      <c r="V156" s="15" t="inlineStr">
        <is>
          <t>C:\Workspace\java\scrape_indeed\soft_dav_part_1\2285.html#22212</t>
        </is>
      </c>
    </row>
    <row r="157">
      <c r="A157" s="2">
        <f>IF(COUNTIF('Sample 20'!$B$2:$B$21,B157)&gt;0,"是","")</f>
        <v/>
      </c>
      <c r="B157" s="2" t="inlineStr">
        <is>
          <t>21860</t>
        </is>
      </c>
      <c r="C157" s="15" t="inlineStr">
        <is>
          <t>Software Developer</t>
        </is>
      </c>
      <c r="D157" s="15">
        <f>IF(E157&gt;='Scoring Rules'!$B$3,"强",IF(E157&gt;='Scoring Rules'!$B$4,"中","弱"))</f>
        <v/>
      </c>
      <c r="E157" s="125">
        <f>MIN(100,H157+IF(I157&gt;=5,'Scoring Rules'!$B$16,IF(I157&gt;=3,'Scoring Rules'!$B$17,IF(I157&gt;=1,'Scoring Rules'!$B$18,'Scoring Rules'!$B$19)))+IF(L157="是",'Scoring Rules'!$B$22,0)+MIN(J157*'Scoring Rules'!$B$23,'Scoring Rules'!$B$24)+IF(M157="是",'Scoring Rules'!$B$25,0)+MIN((IF(K157="",0,LEN(K157)-LEN(SUBSTITUTE(K157,";",""))+1))*'Scoring Rules'!$B$26,'Scoring Rules'!$B$27)+IF(N157="是",'Scoring Rules'!$B$28,0)+IF(O157="是",'Scoring Rules'!$B$29,0)+IF(P157="是",'Scoring Rules'!$B$30,0)+IF(Q157="是",'Scoring Rules'!$B$31,0)+IF(R157="是",'Scoring Rules'!$B$32,0)+IF(S157&gt;=8000,'Scoring Rules'!$B$35,IF(S157&gt;=4000,'Scoring Rules'!$B$36,IF(S157&gt;=2000,'Scoring Rules'!$B$37,'Scoring Rules'!$B$38))))</f>
        <v/>
      </c>
      <c r="F157" s="15" t="inlineStr">
        <is>
          <t>Standard</t>
        </is>
      </c>
      <c r="G157" s="15" t="inlineStr">
        <is>
          <t>Master</t>
        </is>
      </c>
      <c r="H157" s="15" t="n">
        <v>16</v>
      </c>
      <c r="I157" s="15" t="n">
        <v>3</v>
      </c>
      <c r="J157" s="15" t="n">
        <v>10</v>
      </c>
      <c r="K157" s="15" t="str"/>
      <c r="L157" s="15" t="inlineStr">
        <is>
          <t>是</t>
        </is>
      </c>
      <c r="M157" s="15" t="str"/>
      <c r="N157" s="15" t="str"/>
      <c r="O157" s="15" t="str"/>
      <c r="P157" s="15" t="inlineStr">
        <is>
          <t>是</t>
        </is>
      </c>
      <c r="Q157" s="15" t="str"/>
      <c r="R157" s="15" t="inlineStr">
        <is>
          <t>是</t>
        </is>
      </c>
      <c r="S157" s="15" t="n">
        <v>1666</v>
      </c>
      <c r="T157" s="15" t="inlineStr">
        <is>
          <t>Frontend; Mobile; Data/Database</t>
        </is>
      </c>
      <c r="U157" s="15" t="inlineStr">
        <is>
          <t>Technology; Education/Research</t>
        </is>
      </c>
      <c r="V157" s="15" t="inlineStr">
        <is>
          <t>C:\Workspace\java\scrape_indeed\soft_dav_part_1\229.html#22217</t>
        </is>
      </c>
    </row>
    <row r="158">
      <c r="A158" s="2">
        <f>IF(COUNTIF('Sample 20'!$B$2:$B$21,B158)&gt;0,"是","")</f>
        <v/>
      </c>
      <c r="B158" s="2" t="inlineStr">
        <is>
          <t>21871</t>
        </is>
      </c>
      <c r="C158" s="15" t="inlineStr">
        <is>
          <t>Software Developer</t>
        </is>
      </c>
      <c r="D158" s="15">
        <f>IF(E158&gt;='Scoring Rules'!$B$3,"强",IF(E158&gt;='Scoring Rules'!$B$4,"中","弱"))</f>
        <v/>
      </c>
      <c r="E158" s="125">
        <f>MIN(100,H158+IF(I158&gt;=5,'Scoring Rules'!$B$16,IF(I158&gt;=3,'Scoring Rules'!$B$17,IF(I158&gt;=1,'Scoring Rules'!$B$18,'Scoring Rules'!$B$19)))+IF(L158="是",'Scoring Rules'!$B$22,0)+MIN(J158*'Scoring Rules'!$B$23,'Scoring Rules'!$B$24)+IF(M158="是",'Scoring Rules'!$B$25,0)+MIN((IF(K158="",0,LEN(K158)-LEN(SUBSTITUTE(K158,";",""))+1))*'Scoring Rules'!$B$26,'Scoring Rules'!$B$27)+IF(N158="是",'Scoring Rules'!$B$28,0)+IF(O158="是",'Scoring Rules'!$B$29,0)+IF(P158="是",'Scoring Rules'!$B$30,0)+IF(Q158="是",'Scoring Rules'!$B$31,0)+IF(R158="是",'Scoring Rules'!$B$32,0)+IF(S158&gt;=8000,'Scoring Rules'!$B$35,IF(S158&gt;=4000,'Scoring Rules'!$B$36,IF(S158&gt;=2000,'Scoring Rules'!$B$37,'Scoring Rules'!$B$38))))</f>
        <v/>
      </c>
      <c r="F158" s="15" t="inlineStr">
        <is>
          <t>Standard</t>
        </is>
      </c>
      <c r="G158" s="15" t="inlineStr">
        <is>
          <t>Bachelor</t>
        </is>
      </c>
      <c r="H158" s="15" t="n">
        <v>12</v>
      </c>
      <c r="I158" s="15" t="n">
        <v>1</v>
      </c>
      <c r="J158" s="15" t="n">
        <v>10</v>
      </c>
      <c r="K158" s="15" t="str"/>
      <c r="L158" s="15" t="inlineStr">
        <is>
          <t>是</t>
        </is>
      </c>
      <c r="M158" s="15" t="str"/>
      <c r="N158" s="15" t="str"/>
      <c r="O158" s="15" t="str"/>
      <c r="P158" s="15" t="str"/>
      <c r="Q158" s="15" t="inlineStr">
        <is>
          <t>是</t>
        </is>
      </c>
      <c r="R158" s="15" t="inlineStr">
        <is>
          <t>是</t>
        </is>
      </c>
      <c r="S158" s="15" t="n">
        <v>2172</v>
      </c>
      <c r="T158" s="15" t="inlineStr">
        <is>
          <t>Backend/API; Data/Database; Testing/Automation</t>
        </is>
      </c>
      <c r="U158" s="15" t="inlineStr">
        <is>
          <t>Technology; Education/Research</t>
        </is>
      </c>
      <c r="V158" s="15" t="inlineStr">
        <is>
          <t>C:\Workspace\java\scrape_indeed\soft_dav_part_1\23.html#22228</t>
        </is>
      </c>
    </row>
    <row r="159">
      <c r="A159" s="2">
        <f>IF(COUNTIF('Sample 20'!$B$2:$B$21,B159)&gt;0,"是","")</f>
        <v/>
      </c>
      <c r="B159" s="2" t="inlineStr">
        <is>
          <t>21887</t>
        </is>
      </c>
      <c r="C159" s="15" t="inlineStr">
        <is>
          <t>Software Developer</t>
        </is>
      </c>
      <c r="D159" s="15">
        <f>IF(E159&gt;='Scoring Rules'!$B$3,"强",IF(E159&gt;='Scoring Rules'!$B$4,"中","弱"))</f>
        <v/>
      </c>
      <c r="E159" s="125">
        <f>MIN(100,H159+IF(I159&gt;=5,'Scoring Rules'!$B$16,IF(I159&gt;=3,'Scoring Rules'!$B$17,IF(I159&gt;=1,'Scoring Rules'!$B$18,'Scoring Rules'!$B$19)))+IF(L159="是",'Scoring Rules'!$B$22,0)+MIN(J159*'Scoring Rules'!$B$23,'Scoring Rules'!$B$24)+IF(M159="是",'Scoring Rules'!$B$25,0)+MIN((IF(K159="",0,LEN(K159)-LEN(SUBSTITUTE(K159,";",""))+1))*'Scoring Rules'!$B$26,'Scoring Rules'!$B$27)+IF(N159="是",'Scoring Rules'!$B$28,0)+IF(O159="是",'Scoring Rules'!$B$29,0)+IF(P159="是",'Scoring Rules'!$B$30,0)+IF(Q159="是",'Scoring Rules'!$B$31,0)+IF(R159="是",'Scoring Rules'!$B$32,0)+IF(S159&gt;=8000,'Scoring Rules'!$B$35,IF(S159&gt;=4000,'Scoring Rules'!$B$36,IF(S159&gt;=2000,'Scoring Rules'!$B$37,'Scoring Rules'!$B$38))))</f>
        <v/>
      </c>
      <c r="F159" s="15" t="inlineStr">
        <is>
          <t>Standard</t>
        </is>
      </c>
      <c r="G159" s="15" t="inlineStr">
        <is>
          <t>Bachelor</t>
        </is>
      </c>
      <c r="H159" s="15" t="n">
        <v>12</v>
      </c>
      <c r="I159" s="15" t="n">
        <v>4</v>
      </c>
      <c r="J159" s="15" t="n">
        <v>19</v>
      </c>
      <c r="K159" s="15" t="str"/>
      <c r="L159" s="15" t="inlineStr">
        <is>
          <t>是</t>
        </is>
      </c>
      <c r="M159" s="15" t="inlineStr">
        <is>
          <t>是</t>
        </is>
      </c>
      <c r="N159" s="15" t="str"/>
      <c r="O159" s="15" t="inlineStr">
        <is>
          <t>是</t>
        </is>
      </c>
      <c r="P159" s="15" t="inlineStr">
        <is>
          <t>是</t>
        </is>
      </c>
      <c r="Q159" s="15" t="inlineStr">
        <is>
          <t>是</t>
        </is>
      </c>
      <c r="R159" s="15" t="inlineStr">
        <is>
          <t>是</t>
        </is>
      </c>
      <c r="S159" s="15" t="n">
        <v>3557</v>
      </c>
      <c r="T159" s="15" t="inlineStr">
        <is>
          <t>Frontend; Backend/API; Data/Database</t>
        </is>
      </c>
      <c r="U159" s="15" t="inlineStr">
        <is>
          <t>Technology; Education/Research</t>
        </is>
      </c>
      <c r="V159" s="15" t="inlineStr">
        <is>
          <t>C:\Workspace\java\scrape_indeed\soft_dav_part_1\2314.html#22245</t>
        </is>
      </c>
    </row>
    <row r="160">
      <c r="A160" s="2">
        <f>IF(COUNTIF('Sample 20'!$B$2:$B$21,B160)&gt;0,"是","")</f>
        <v/>
      </c>
      <c r="B160" s="2" t="inlineStr">
        <is>
          <t>21893</t>
        </is>
      </c>
      <c r="C160" s="15" t="inlineStr">
        <is>
          <t>Software Developer</t>
        </is>
      </c>
      <c r="D160" s="15">
        <f>IF(E160&gt;='Scoring Rules'!$B$3,"强",IF(E160&gt;='Scoring Rules'!$B$4,"中","弱"))</f>
        <v/>
      </c>
      <c r="E160" s="125">
        <f>MIN(100,H160+IF(I160&gt;=5,'Scoring Rules'!$B$16,IF(I160&gt;=3,'Scoring Rules'!$B$17,IF(I160&gt;=1,'Scoring Rules'!$B$18,'Scoring Rules'!$B$19)))+IF(L160="是",'Scoring Rules'!$B$22,0)+MIN(J160*'Scoring Rules'!$B$23,'Scoring Rules'!$B$24)+IF(M160="是",'Scoring Rules'!$B$25,0)+MIN((IF(K160="",0,LEN(K160)-LEN(SUBSTITUTE(K160,";",""))+1))*'Scoring Rules'!$B$26,'Scoring Rules'!$B$27)+IF(N160="是",'Scoring Rules'!$B$28,0)+IF(O160="是",'Scoring Rules'!$B$29,0)+IF(P160="是",'Scoring Rules'!$B$30,0)+IF(Q160="是",'Scoring Rules'!$B$31,0)+IF(R160="是",'Scoring Rules'!$B$32,0)+IF(S160&gt;=8000,'Scoring Rules'!$B$35,IF(S160&gt;=4000,'Scoring Rules'!$B$36,IF(S160&gt;=2000,'Scoring Rules'!$B$37,'Scoring Rules'!$B$38))))</f>
        <v/>
      </c>
      <c r="F160" s="15" t="inlineStr">
        <is>
          <t>Standard</t>
        </is>
      </c>
      <c r="G160" s="15" t="inlineStr">
        <is>
          <t>Bachelor</t>
        </is>
      </c>
      <c r="H160" s="15" t="n">
        <v>12</v>
      </c>
      <c r="I160" s="15" t="n">
        <v>3</v>
      </c>
      <c r="J160" s="15" t="n">
        <v>12</v>
      </c>
      <c r="K160" s="15" t="str"/>
      <c r="L160" s="15" t="inlineStr">
        <is>
          <t>是</t>
        </is>
      </c>
      <c r="M160" s="15" t="str"/>
      <c r="N160" s="15" t="inlineStr">
        <is>
          <t>是</t>
        </is>
      </c>
      <c r="O160" s="15" t="str"/>
      <c r="P160" s="15" t="inlineStr">
        <is>
          <t>是</t>
        </is>
      </c>
      <c r="Q160" s="15" t="str"/>
      <c r="R160" s="15" t="inlineStr">
        <is>
          <t>是</t>
        </is>
      </c>
      <c r="S160" s="15" t="n">
        <v>1547</v>
      </c>
      <c r="T160" s="15" t="inlineStr">
        <is>
          <t>Frontend; Backend/API; Data/Database</t>
        </is>
      </c>
      <c r="U160" s="15" t="inlineStr">
        <is>
          <t>Technology; Education/Research</t>
        </is>
      </c>
      <c r="V160" s="15" t="inlineStr">
        <is>
          <t>C:\Workspace\java\scrape_indeed\soft_dav_part_1\232.html#22251</t>
        </is>
      </c>
    </row>
    <row r="161">
      <c r="A161" s="2">
        <f>IF(COUNTIF('Sample 20'!$B$2:$B$21,B161)&gt;0,"是","")</f>
        <v/>
      </c>
      <c r="B161" s="2" t="inlineStr">
        <is>
          <t>21930</t>
        </is>
      </c>
      <c r="C161" s="15" t="inlineStr">
        <is>
          <t>Software Developer</t>
        </is>
      </c>
      <c r="D161" s="15">
        <f>IF(E161&gt;='Scoring Rules'!$B$3,"强",IF(E161&gt;='Scoring Rules'!$B$4,"中","弱"))</f>
        <v/>
      </c>
      <c r="E161" s="125">
        <f>MIN(100,H161+IF(I161&gt;=5,'Scoring Rules'!$B$16,IF(I161&gt;=3,'Scoring Rules'!$B$17,IF(I161&gt;=1,'Scoring Rules'!$B$18,'Scoring Rules'!$B$19)))+IF(L161="是",'Scoring Rules'!$B$22,0)+MIN(J161*'Scoring Rules'!$B$23,'Scoring Rules'!$B$24)+IF(M161="是",'Scoring Rules'!$B$25,0)+MIN((IF(K161="",0,LEN(K161)-LEN(SUBSTITUTE(K161,";",""))+1))*'Scoring Rules'!$B$26,'Scoring Rules'!$B$27)+IF(N161="是",'Scoring Rules'!$B$28,0)+IF(O161="是",'Scoring Rules'!$B$29,0)+IF(P161="是",'Scoring Rules'!$B$30,0)+IF(Q161="是",'Scoring Rules'!$B$31,0)+IF(R161="是",'Scoring Rules'!$B$32,0)+IF(S161&gt;=8000,'Scoring Rules'!$B$35,IF(S161&gt;=4000,'Scoring Rules'!$B$36,IF(S161&gt;=2000,'Scoring Rules'!$B$37,'Scoring Rules'!$B$38))))</f>
        <v/>
      </c>
      <c r="F161" s="15" t="inlineStr">
        <is>
          <t>Standard</t>
        </is>
      </c>
      <c r="G161" s="15" t="inlineStr">
        <is>
          <t>Bachelor</t>
        </is>
      </c>
      <c r="H161" s="15" t="n">
        <v>12</v>
      </c>
      <c r="I161" s="15" t="n">
        <v>7</v>
      </c>
      <c r="J161" s="15" t="n">
        <v>13</v>
      </c>
      <c r="K161" s="15" t="str"/>
      <c r="L161" s="15" t="inlineStr">
        <is>
          <t>是</t>
        </is>
      </c>
      <c r="M161" s="15" t="str"/>
      <c r="N161" s="15" t="str"/>
      <c r="O161" s="15" t="str"/>
      <c r="P161" s="15" t="str"/>
      <c r="Q161" s="15" t="inlineStr">
        <is>
          <t>是</t>
        </is>
      </c>
      <c r="R161" s="15" t="inlineStr">
        <is>
          <t>是</t>
        </is>
      </c>
      <c r="S161" s="15" t="n">
        <v>7249</v>
      </c>
      <c r="T161" s="15" t="inlineStr">
        <is>
          <t>Frontend; Backend/API; Data/Database; Embedded/Systems</t>
        </is>
      </c>
      <c r="U161" s="15" t="inlineStr">
        <is>
          <t>Healthcare; Government/Defense; Technology; Education/Research</t>
        </is>
      </c>
      <c r="V161" s="15" t="inlineStr">
        <is>
          <t>C:\Workspace\java\scrape_indeed\soft_dav_part_1\2353.html#22288</t>
        </is>
      </c>
    </row>
    <row r="162">
      <c r="A162" s="2">
        <f>IF(COUNTIF('Sample 20'!$B$2:$B$21,B162)&gt;0,"是","")</f>
        <v/>
      </c>
      <c r="B162" s="2" t="inlineStr">
        <is>
          <t>21937</t>
        </is>
      </c>
      <c r="C162" s="15" t="inlineStr">
        <is>
          <t>Software Developer</t>
        </is>
      </c>
      <c r="D162" s="15">
        <f>IF(E162&gt;='Scoring Rules'!$B$3,"强",IF(E162&gt;='Scoring Rules'!$B$4,"中","弱"))</f>
        <v/>
      </c>
      <c r="E162" s="125">
        <f>MIN(100,H162+IF(I162&gt;=5,'Scoring Rules'!$B$16,IF(I162&gt;=3,'Scoring Rules'!$B$17,IF(I162&gt;=1,'Scoring Rules'!$B$18,'Scoring Rules'!$B$19)))+IF(L162="是",'Scoring Rules'!$B$22,0)+MIN(J162*'Scoring Rules'!$B$23,'Scoring Rules'!$B$24)+IF(M162="是",'Scoring Rules'!$B$25,0)+MIN((IF(K162="",0,LEN(K162)-LEN(SUBSTITUTE(K162,";",""))+1))*'Scoring Rules'!$B$26,'Scoring Rules'!$B$27)+IF(N162="是",'Scoring Rules'!$B$28,0)+IF(O162="是",'Scoring Rules'!$B$29,0)+IF(P162="是",'Scoring Rules'!$B$30,0)+IF(Q162="是",'Scoring Rules'!$B$31,0)+IF(R162="是",'Scoring Rules'!$B$32,0)+IF(S162&gt;=8000,'Scoring Rules'!$B$35,IF(S162&gt;=4000,'Scoring Rules'!$B$36,IF(S162&gt;=2000,'Scoring Rules'!$B$37,'Scoring Rules'!$B$38))))</f>
        <v/>
      </c>
      <c r="F162" s="15" t="inlineStr">
        <is>
          <t>Standard</t>
        </is>
      </c>
      <c r="G162" s="15" t="inlineStr">
        <is>
          <t>Master</t>
        </is>
      </c>
      <c r="H162" s="15" t="n">
        <v>16</v>
      </c>
      <c r="I162" s="15" t="n">
        <v>4</v>
      </c>
      <c r="J162" s="15" t="n">
        <v>4</v>
      </c>
      <c r="K162" s="15" t="str"/>
      <c r="L162" s="15" t="inlineStr">
        <is>
          <t>是</t>
        </is>
      </c>
      <c r="M162" s="15" t="inlineStr">
        <is>
          <t>是</t>
        </is>
      </c>
      <c r="N162" s="15" t="str"/>
      <c r="O162" s="15" t="inlineStr">
        <is>
          <t>是</t>
        </is>
      </c>
      <c r="P162" s="15" t="str"/>
      <c r="Q162" s="15" t="str"/>
      <c r="R162" s="15" t="str"/>
      <c r="S162" s="15" t="n">
        <v>2518</v>
      </c>
      <c r="T162" s="15" t="inlineStr">
        <is>
          <t>Backend/API; Machine Learning</t>
        </is>
      </c>
      <c r="U162" s="15" t="inlineStr">
        <is>
          <t>Finance/Banking; Technology</t>
        </is>
      </c>
      <c r="V162" s="15" t="inlineStr">
        <is>
          <t>C:\Workspace\java\scrape_indeed\soft_dav_part_1\236.html#22295</t>
        </is>
      </c>
    </row>
    <row r="163">
      <c r="A163" s="2">
        <f>IF(COUNTIF('Sample 20'!$B$2:$B$21,B163)&gt;0,"是","")</f>
        <v/>
      </c>
      <c r="B163" s="2" t="inlineStr">
        <is>
          <t>21938</t>
        </is>
      </c>
      <c r="C163" s="15" t="inlineStr">
        <is>
          <t>SOFTWARE DEVELOPER</t>
        </is>
      </c>
      <c r="D163" s="15">
        <f>IF(E163&gt;='Scoring Rules'!$B$3,"强",IF(E163&gt;='Scoring Rules'!$B$4,"中","弱"))</f>
        <v/>
      </c>
      <c r="E163" s="125">
        <f>MIN(100,H163+IF(I163&gt;=5,'Scoring Rules'!$B$16,IF(I163&gt;=3,'Scoring Rules'!$B$17,IF(I163&gt;=1,'Scoring Rules'!$B$18,'Scoring Rules'!$B$19)))+IF(L163="是",'Scoring Rules'!$B$22,0)+MIN(J163*'Scoring Rules'!$B$23,'Scoring Rules'!$B$24)+IF(M163="是",'Scoring Rules'!$B$25,0)+MIN((IF(K163="",0,LEN(K163)-LEN(SUBSTITUTE(K163,";",""))+1))*'Scoring Rules'!$B$26,'Scoring Rules'!$B$27)+IF(N163="是",'Scoring Rules'!$B$28,0)+IF(O163="是",'Scoring Rules'!$B$29,0)+IF(P163="是",'Scoring Rules'!$B$30,0)+IF(Q163="是",'Scoring Rules'!$B$31,0)+IF(R163="是",'Scoring Rules'!$B$32,0)+IF(S163&gt;=8000,'Scoring Rules'!$B$35,IF(S163&gt;=4000,'Scoring Rules'!$B$36,IF(S163&gt;=2000,'Scoring Rules'!$B$37,'Scoring Rules'!$B$38))))</f>
        <v/>
      </c>
      <c r="F163" s="15" t="inlineStr">
        <is>
          <t>Standard</t>
        </is>
      </c>
      <c r="G163" s="15" t="inlineStr">
        <is>
          <t>Bachelor</t>
        </is>
      </c>
      <c r="H163" s="15" t="n">
        <v>12</v>
      </c>
      <c r="I163" s="15" t="n">
        <v>3</v>
      </c>
      <c r="J163" s="15" t="n">
        <v>6</v>
      </c>
      <c r="K163" s="15" t="str"/>
      <c r="L163" s="15" t="inlineStr">
        <is>
          <t>是</t>
        </is>
      </c>
      <c r="M163" s="15" t="str"/>
      <c r="N163" s="15" t="str"/>
      <c r="O163" s="15" t="str"/>
      <c r="P163" s="15" t="inlineStr">
        <is>
          <t>是</t>
        </is>
      </c>
      <c r="Q163" s="15" t="inlineStr">
        <is>
          <t>是</t>
        </is>
      </c>
      <c r="R163" s="15" t="inlineStr">
        <is>
          <t>是</t>
        </is>
      </c>
      <c r="S163" s="15" t="n">
        <v>2216</v>
      </c>
      <c r="T163" s="15" t="inlineStr">
        <is>
          <t>Frontend; Backend/API</t>
        </is>
      </c>
      <c r="U163" s="15" t="inlineStr">
        <is>
          <t>Government/Defense; Technology; Consulting; Education/Research</t>
        </is>
      </c>
      <c r="V163" s="15" t="inlineStr">
        <is>
          <t>C:\Workspace\java\scrape_indeed\soft_dav_part_1\2360.html#22296</t>
        </is>
      </c>
    </row>
    <row r="164">
      <c r="A164" s="2">
        <f>IF(COUNTIF('Sample 20'!$B$2:$B$21,B164)&gt;0,"是","")</f>
        <v/>
      </c>
      <c r="B164" s="2" t="inlineStr">
        <is>
          <t>21952</t>
        </is>
      </c>
      <c r="C164" s="15" t="inlineStr">
        <is>
          <t>SOFTWARE DEVELOPER</t>
        </is>
      </c>
      <c r="D164" s="15">
        <f>IF(E164&gt;='Scoring Rules'!$B$3,"强",IF(E164&gt;='Scoring Rules'!$B$4,"中","弱"))</f>
        <v/>
      </c>
      <c r="E164" s="125">
        <f>MIN(100,H164+IF(I164&gt;=5,'Scoring Rules'!$B$16,IF(I164&gt;=3,'Scoring Rules'!$B$17,IF(I164&gt;=1,'Scoring Rules'!$B$18,'Scoring Rules'!$B$19)))+IF(L164="是",'Scoring Rules'!$B$22,0)+MIN(J164*'Scoring Rules'!$B$23,'Scoring Rules'!$B$24)+IF(M164="是",'Scoring Rules'!$B$25,0)+MIN((IF(K164="",0,LEN(K164)-LEN(SUBSTITUTE(K164,";",""))+1))*'Scoring Rules'!$B$26,'Scoring Rules'!$B$27)+IF(N164="是",'Scoring Rules'!$B$28,0)+IF(O164="是",'Scoring Rules'!$B$29,0)+IF(P164="是",'Scoring Rules'!$B$30,0)+IF(Q164="是",'Scoring Rules'!$B$31,0)+IF(R164="是",'Scoring Rules'!$B$32,0)+IF(S164&gt;=8000,'Scoring Rules'!$B$35,IF(S164&gt;=4000,'Scoring Rules'!$B$36,IF(S164&gt;=2000,'Scoring Rules'!$B$37,'Scoring Rules'!$B$38))))</f>
        <v/>
      </c>
      <c r="F164" s="15" t="inlineStr">
        <is>
          <t>Standard</t>
        </is>
      </c>
      <c r="G164" s="15" t="inlineStr">
        <is>
          <t>Unspecified</t>
        </is>
      </c>
      <c r="H164" s="15" t="n">
        <v>2</v>
      </c>
      <c r="I164" s="15" t="n">
        <v>7</v>
      </c>
      <c r="J164" s="15" t="n">
        <v>18</v>
      </c>
      <c r="K164" s="15" t="str"/>
      <c r="L164" s="15" t="inlineStr">
        <is>
          <t>是</t>
        </is>
      </c>
      <c r="M164" s="15" t="str"/>
      <c r="N164" s="15" t="str"/>
      <c r="O164" s="15" t="inlineStr">
        <is>
          <t>是</t>
        </is>
      </c>
      <c r="P164" s="15" t="str"/>
      <c r="Q164" s="15" t="str"/>
      <c r="R164" s="15" t="inlineStr">
        <is>
          <t>是</t>
        </is>
      </c>
      <c r="S164" s="15" t="n">
        <v>6905</v>
      </c>
      <c r="T164" s="15" t="inlineStr">
        <is>
          <t>Frontend; Backend/API; Data/Database; Cloud/DevOps; Embedded/Systems</t>
        </is>
      </c>
      <c r="U164" s="15" t="inlineStr">
        <is>
          <t>Government/Defense; Technology; Education/Research</t>
        </is>
      </c>
      <c r="V164" s="15" t="inlineStr">
        <is>
          <t>C:\Workspace\java\scrape_indeed\soft_dav_part_1\2374.html#22311</t>
        </is>
      </c>
    </row>
    <row r="165">
      <c r="A165" s="2">
        <f>IF(COUNTIF('Sample 20'!$B$2:$B$21,B165)&gt;0,"是","")</f>
        <v/>
      </c>
      <c r="B165" s="2" t="inlineStr">
        <is>
          <t>21969</t>
        </is>
      </c>
      <c r="C165" s="15" t="inlineStr">
        <is>
          <t>Software Developer</t>
        </is>
      </c>
      <c r="D165" s="15">
        <f>IF(E165&gt;='Scoring Rules'!$B$3,"强",IF(E165&gt;='Scoring Rules'!$B$4,"中","弱"))</f>
        <v/>
      </c>
      <c r="E165" s="125">
        <f>MIN(100,H165+IF(I165&gt;=5,'Scoring Rules'!$B$16,IF(I165&gt;=3,'Scoring Rules'!$B$17,IF(I165&gt;=1,'Scoring Rules'!$B$18,'Scoring Rules'!$B$19)))+IF(L165="是",'Scoring Rules'!$B$22,0)+MIN(J165*'Scoring Rules'!$B$23,'Scoring Rules'!$B$24)+IF(M165="是",'Scoring Rules'!$B$25,0)+MIN((IF(K165="",0,LEN(K165)-LEN(SUBSTITUTE(K165,";",""))+1))*'Scoring Rules'!$B$26,'Scoring Rules'!$B$27)+IF(N165="是",'Scoring Rules'!$B$28,0)+IF(O165="是",'Scoring Rules'!$B$29,0)+IF(P165="是",'Scoring Rules'!$B$30,0)+IF(Q165="是",'Scoring Rules'!$B$31,0)+IF(R165="是",'Scoring Rules'!$B$32,0)+IF(S165&gt;=8000,'Scoring Rules'!$B$35,IF(S165&gt;=4000,'Scoring Rules'!$B$36,IF(S165&gt;=2000,'Scoring Rules'!$B$37,'Scoring Rules'!$B$38))))</f>
        <v/>
      </c>
      <c r="F165" s="15" t="inlineStr">
        <is>
          <t>Standard</t>
        </is>
      </c>
      <c r="G165" s="15" t="inlineStr">
        <is>
          <t>Unspecified</t>
        </is>
      </c>
      <c r="H165" s="15" t="n">
        <v>2</v>
      </c>
      <c r="I165" s="15" t="n">
        <v>1</v>
      </c>
      <c r="J165" s="15" t="n">
        <v>12</v>
      </c>
      <c r="K165" s="15" t="str"/>
      <c r="L165" s="15" t="inlineStr">
        <is>
          <t>是</t>
        </is>
      </c>
      <c r="M165" s="15" t="str"/>
      <c r="N165" s="15" t="str"/>
      <c r="O165" s="15" t="str"/>
      <c r="P165" s="15" t="str"/>
      <c r="Q165" s="15" t="inlineStr">
        <is>
          <t>是</t>
        </is>
      </c>
      <c r="R165" s="15" t="str"/>
      <c r="S165" s="15" t="n">
        <v>2941</v>
      </c>
      <c r="T165" s="15" t="inlineStr">
        <is>
          <t>Frontend; Backend/API; Data/Database</t>
        </is>
      </c>
      <c r="U165" s="15" t="inlineStr">
        <is>
          <t>Healthcare; Technology; Consulting; Education/Research</t>
        </is>
      </c>
      <c r="V165" s="15" t="inlineStr">
        <is>
          <t>C:\Workspace\java\scrape_indeed\soft_dav_part_1\239.html#22328</t>
        </is>
      </c>
    </row>
    <row r="166">
      <c r="A166" s="2">
        <f>IF(COUNTIF('Sample 20'!$B$2:$B$21,B166)&gt;0,"是","")</f>
        <v/>
      </c>
      <c r="B166" s="2" t="inlineStr">
        <is>
          <t>21980</t>
        </is>
      </c>
      <c r="C166" s="15" t="inlineStr">
        <is>
          <t>Software Developer</t>
        </is>
      </c>
      <c r="D166" s="15">
        <f>IF(E166&gt;='Scoring Rules'!$B$3,"强",IF(E166&gt;='Scoring Rules'!$B$4,"中","弱"))</f>
        <v/>
      </c>
      <c r="E166" s="125">
        <f>MIN(100,H166+IF(I166&gt;=5,'Scoring Rules'!$B$16,IF(I166&gt;=3,'Scoring Rules'!$B$17,IF(I166&gt;=1,'Scoring Rules'!$B$18,'Scoring Rules'!$B$19)))+IF(L166="是",'Scoring Rules'!$B$22,0)+MIN(J166*'Scoring Rules'!$B$23,'Scoring Rules'!$B$24)+IF(M166="是",'Scoring Rules'!$B$25,0)+MIN((IF(K166="",0,LEN(K166)-LEN(SUBSTITUTE(K166,";",""))+1))*'Scoring Rules'!$B$26,'Scoring Rules'!$B$27)+IF(N166="是",'Scoring Rules'!$B$28,0)+IF(O166="是",'Scoring Rules'!$B$29,0)+IF(P166="是",'Scoring Rules'!$B$30,0)+IF(Q166="是",'Scoring Rules'!$B$31,0)+IF(R166="是",'Scoring Rules'!$B$32,0)+IF(S166&gt;=8000,'Scoring Rules'!$B$35,IF(S166&gt;=4000,'Scoring Rules'!$B$36,IF(S166&gt;=2000,'Scoring Rules'!$B$37,'Scoring Rules'!$B$38))))</f>
        <v/>
      </c>
      <c r="F166" s="15" t="inlineStr">
        <is>
          <t>Standard</t>
        </is>
      </c>
      <c r="G166" s="15" t="inlineStr">
        <is>
          <t>Master</t>
        </is>
      </c>
      <c r="H166" s="15" t="n">
        <v>16</v>
      </c>
      <c r="I166" s="15" t="n">
        <v>1</v>
      </c>
      <c r="J166" s="15" t="n">
        <v>16</v>
      </c>
      <c r="K166" s="15" t="str"/>
      <c r="L166" s="15" t="inlineStr">
        <is>
          <t>是</t>
        </is>
      </c>
      <c r="M166" s="15" t="str"/>
      <c r="N166" s="15" t="str"/>
      <c r="O166" s="15" t="str"/>
      <c r="P166" s="15" t="str"/>
      <c r="Q166" s="15" t="str"/>
      <c r="R166" s="15" t="inlineStr">
        <is>
          <t>是</t>
        </is>
      </c>
      <c r="S166" s="15" t="n">
        <v>4060</v>
      </c>
      <c r="T166" s="15" t="inlineStr">
        <is>
          <t>Frontend; Backend/API; Mobile; Data/Database; Embedded/Systems</t>
        </is>
      </c>
      <c r="U166" s="15" t="inlineStr">
        <is>
          <t>Finance/Banking; Healthcare; Technology; Education/Research</t>
        </is>
      </c>
      <c r="V166" s="15" t="inlineStr">
        <is>
          <t>C:\Workspace\java\scrape_indeed\soft_dav_part_1\24.html#22339</t>
        </is>
      </c>
    </row>
    <row r="167">
      <c r="A167" s="2">
        <f>IF(COUNTIF('Sample 20'!$B$2:$B$21,B167)&gt;0,"是","")</f>
        <v/>
      </c>
      <c r="B167" s="2" t="inlineStr">
        <is>
          <t>21983</t>
        </is>
      </c>
      <c r="C167" s="15" t="inlineStr">
        <is>
          <t>Software Developer</t>
        </is>
      </c>
      <c r="D167" s="15">
        <f>IF(E167&gt;='Scoring Rules'!$B$3,"强",IF(E167&gt;='Scoring Rules'!$B$4,"中","弱"))</f>
        <v/>
      </c>
      <c r="E167" s="125">
        <f>MIN(100,H167+IF(I167&gt;=5,'Scoring Rules'!$B$16,IF(I167&gt;=3,'Scoring Rules'!$B$17,IF(I167&gt;=1,'Scoring Rules'!$B$18,'Scoring Rules'!$B$19)))+IF(L167="是",'Scoring Rules'!$B$22,0)+MIN(J167*'Scoring Rules'!$B$23,'Scoring Rules'!$B$24)+IF(M167="是",'Scoring Rules'!$B$25,0)+MIN((IF(K167="",0,LEN(K167)-LEN(SUBSTITUTE(K167,";",""))+1))*'Scoring Rules'!$B$26,'Scoring Rules'!$B$27)+IF(N167="是",'Scoring Rules'!$B$28,0)+IF(O167="是",'Scoring Rules'!$B$29,0)+IF(P167="是",'Scoring Rules'!$B$30,0)+IF(Q167="是",'Scoring Rules'!$B$31,0)+IF(R167="是",'Scoring Rules'!$B$32,0)+IF(S167&gt;=8000,'Scoring Rules'!$B$35,IF(S167&gt;=4000,'Scoring Rules'!$B$36,IF(S167&gt;=2000,'Scoring Rules'!$B$37,'Scoring Rules'!$B$38))))</f>
        <v/>
      </c>
      <c r="F167" s="15" t="inlineStr">
        <is>
          <t>Standard</t>
        </is>
      </c>
      <c r="G167" s="15" t="inlineStr">
        <is>
          <t>Unspecified</t>
        </is>
      </c>
      <c r="H167" s="15" t="n">
        <v>2</v>
      </c>
      <c r="I167" s="15" t="n">
        <v>8</v>
      </c>
      <c r="J167" s="15" t="n">
        <v>14</v>
      </c>
      <c r="K167" s="15" t="str"/>
      <c r="L167" s="15" t="str"/>
      <c r="M167" s="15" t="str"/>
      <c r="N167" s="15" t="str"/>
      <c r="O167" s="15" t="inlineStr">
        <is>
          <t>是</t>
        </is>
      </c>
      <c r="P167" s="15" t="str"/>
      <c r="Q167" s="15" t="str"/>
      <c r="R167" s="15" t="inlineStr">
        <is>
          <t>是</t>
        </is>
      </c>
      <c r="S167" s="15" t="n">
        <v>4738</v>
      </c>
      <c r="T167" s="15" t="inlineStr">
        <is>
          <t>Frontend; Backend/API; Mobile; Data/Database; Embedded/Systems</t>
        </is>
      </c>
      <c r="U167" s="15" t="inlineStr">
        <is>
          <t>Finance/Banking; Technology; Education/Research</t>
        </is>
      </c>
      <c r="V167" s="15" t="inlineStr">
        <is>
          <t>C:\Workspace\java\scrape_indeed\soft_dav_part_1\2401.html#22342</t>
        </is>
      </c>
    </row>
    <row r="168">
      <c r="A168" s="2">
        <f>IF(COUNTIF('Sample 20'!$B$2:$B$21,B168)&gt;0,"是","")</f>
        <v/>
      </c>
      <c r="B168" s="2" t="inlineStr">
        <is>
          <t>22054</t>
        </is>
      </c>
      <c r="C168" s="15" t="inlineStr">
        <is>
          <t>Software Developer</t>
        </is>
      </c>
      <c r="D168" s="15">
        <f>IF(E168&gt;='Scoring Rules'!$B$3,"强",IF(E168&gt;='Scoring Rules'!$B$4,"中","弱"))</f>
        <v/>
      </c>
      <c r="E168" s="125">
        <f>MIN(100,H168+IF(I168&gt;=5,'Scoring Rules'!$B$16,IF(I168&gt;=3,'Scoring Rules'!$B$17,IF(I168&gt;=1,'Scoring Rules'!$B$18,'Scoring Rules'!$B$19)))+IF(L168="是",'Scoring Rules'!$B$22,0)+MIN(J168*'Scoring Rules'!$B$23,'Scoring Rules'!$B$24)+IF(M168="是",'Scoring Rules'!$B$25,0)+MIN((IF(K168="",0,LEN(K168)-LEN(SUBSTITUTE(K168,";",""))+1))*'Scoring Rules'!$B$26,'Scoring Rules'!$B$27)+IF(N168="是",'Scoring Rules'!$B$28,0)+IF(O168="是",'Scoring Rules'!$B$29,0)+IF(P168="是",'Scoring Rules'!$B$30,0)+IF(Q168="是",'Scoring Rules'!$B$31,0)+IF(R168="是",'Scoring Rules'!$B$32,0)+IF(S168&gt;=8000,'Scoring Rules'!$B$35,IF(S168&gt;=4000,'Scoring Rules'!$B$36,IF(S168&gt;=2000,'Scoring Rules'!$B$37,'Scoring Rules'!$B$38))))</f>
        <v/>
      </c>
      <c r="F168" s="15" t="inlineStr">
        <is>
          <t>Standard</t>
        </is>
      </c>
      <c r="G168" s="15" t="inlineStr">
        <is>
          <t>Master</t>
        </is>
      </c>
      <c r="H168" s="15" t="n">
        <v>16</v>
      </c>
      <c r="I168" s="15" t="n">
        <v>4</v>
      </c>
      <c r="J168" s="15" t="n">
        <v>19</v>
      </c>
      <c r="K168" s="15" t="str"/>
      <c r="L168" s="15" t="inlineStr">
        <is>
          <t>是</t>
        </is>
      </c>
      <c r="M168" s="15" t="str"/>
      <c r="N168" s="15" t="str"/>
      <c r="O168" s="15" t="str"/>
      <c r="P168" s="15" t="inlineStr">
        <is>
          <t>是</t>
        </is>
      </c>
      <c r="Q168" s="15" t="str"/>
      <c r="R168" s="15" t="inlineStr">
        <is>
          <t>是</t>
        </is>
      </c>
      <c r="S168" s="15" t="n">
        <v>2756</v>
      </c>
      <c r="T168" s="15" t="inlineStr">
        <is>
          <t>Frontend; Backend/API; Data/Database; Testing/Automation</t>
        </is>
      </c>
      <c r="U168" s="15" t="inlineStr">
        <is>
          <t>Healthcare; Technology; Education/Research</t>
        </is>
      </c>
      <c r="V168" s="15" t="inlineStr">
        <is>
          <t>C:\Workspace\java\scrape_indeed\soft_dav_part_1\247.html#22417</t>
        </is>
      </c>
    </row>
    <row r="169">
      <c r="A169" s="2">
        <f>IF(COUNTIF('Sample 20'!$B$2:$B$21,B169)&gt;0,"是","")</f>
        <v/>
      </c>
      <c r="B169" s="2" t="inlineStr">
        <is>
          <t>22061</t>
        </is>
      </c>
      <c r="C169" s="15" t="inlineStr">
        <is>
          <t>Software Developer</t>
        </is>
      </c>
      <c r="D169" s="15">
        <f>IF(E169&gt;='Scoring Rules'!$B$3,"强",IF(E169&gt;='Scoring Rules'!$B$4,"中","弱"))</f>
        <v/>
      </c>
      <c r="E169" s="125">
        <f>MIN(100,H169+IF(I169&gt;=5,'Scoring Rules'!$B$16,IF(I169&gt;=3,'Scoring Rules'!$B$17,IF(I169&gt;=1,'Scoring Rules'!$B$18,'Scoring Rules'!$B$19)))+IF(L169="是",'Scoring Rules'!$B$22,0)+MIN(J169*'Scoring Rules'!$B$23,'Scoring Rules'!$B$24)+IF(M169="是",'Scoring Rules'!$B$25,0)+MIN((IF(K169="",0,LEN(K169)-LEN(SUBSTITUTE(K169,";",""))+1))*'Scoring Rules'!$B$26,'Scoring Rules'!$B$27)+IF(N169="是",'Scoring Rules'!$B$28,0)+IF(O169="是",'Scoring Rules'!$B$29,0)+IF(P169="是",'Scoring Rules'!$B$30,0)+IF(Q169="是",'Scoring Rules'!$B$31,0)+IF(R169="是",'Scoring Rules'!$B$32,0)+IF(S169&gt;=8000,'Scoring Rules'!$B$35,IF(S169&gt;=4000,'Scoring Rules'!$B$36,IF(S169&gt;=2000,'Scoring Rules'!$B$37,'Scoring Rules'!$B$38))))</f>
        <v/>
      </c>
      <c r="F169" s="15" t="inlineStr">
        <is>
          <t>Standard</t>
        </is>
      </c>
      <c r="G169" s="15" t="inlineStr">
        <is>
          <t>Bachelor</t>
        </is>
      </c>
      <c r="H169" s="15" t="n">
        <v>12</v>
      </c>
      <c r="I169" s="15" t="n">
        <v>10</v>
      </c>
      <c r="J169" s="15" t="n">
        <v>12</v>
      </c>
      <c r="K169" s="15" t="str"/>
      <c r="L169" s="15" t="str"/>
      <c r="M169" s="15" t="str"/>
      <c r="N169" s="15" t="str"/>
      <c r="O169" s="15" t="str"/>
      <c r="P169" s="15" t="inlineStr">
        <is>
          <t>是</t>
        </is>
      </c>
      <c r="Q169" s="15" t="inlineStr">
        <is>
          <t>是</t>
        </is>
      </c>
      <c r="R169" s="15" t="inlineStr">
        <is>
          <t>是</t>
        </is>
      </c>
      <c r="S169" s="15" t="n">
        <v>7544</v>
      </c>
      <c r="T169" s="15" t="inlineStr">
        <is>
          <t>Frontend; Backend/API; Data/Database; Embedded/Systems</t>
        </is>
      </c>
      <c r="U169" s="15" t="inlineStr">
        <is>
          <t>Finance/Banking; Healthcare; Technology; Consulting; Telecom; Education/Research; Retail/E-commerce</t>
        </is>
      </c>
      <c r="V169" s="15" t="inlineStr">
        <is>
          <t>C:\Workspace\java\scrape_indeed\soft_dav_part_1\2476.html#22424</t>
        </is>
      </c>
    </row>
    <row r="170">
      <c r="A170" s="2">
        <f>IF(COUNTIF('Sample 20'!$B$2:$B$21,B170)&gt;0,"是","")</f>
        <v/>
      </c>
      <c r="B170" s="2" t="inlineStr">
        <is>
          <t>22065</t>
        </is>
      </c>
      <c r="C170" s="15" t="inlineStr">
        <is>
          <t>Software Developer</t>
        </is>
      </c>
      <c r="D170" s="15">
        <f>IF(E170&gt;='Scoring Rules'!$B$3,"强",IF(E170&gt;='Scoring Rules'!$B$4,"中","弱"))</f>
        <v/>
      </c>
      <c r="E170" s="125">
        <f>MIN(100,H170+IF(I170&gt;=5,'Scoring Rules'!$B$16,IF(I170&gt;=3,'Scoring Rules'!$B$17,IF(I170&gt;=1,'Scoring Rules'!$B$18,'Scoring Rules'!$B$19)))+IF(L170="是",'Scoring Rules'!$B$22,0)+MIN(J170*'Scoring Rules'!$B$23,'Scoring Rules'!$B$24)+IF(M170="是",'Scoring Rules'!$B$25,0)+MIN((IF(K170="",0,LEN(K170)-LEN(SUBSTITUTE(K170,";",""))+1))*'Scoring Rules'!$B$26,'Scoring Rules'!$B$27)+IF(N170="是",'Scoring Rules'!$B$28,0)+IF(O170="是",'Scoring Rules'!$B$29,0)+IF(P170="是",'Scoring Rules'!$B$30,0)+IF(Q170="是",'Scoring Rules'!$B$31,0)+IF(R170="是",'Scoring Rules'!$B$32,0)+IF(S170&gt;=8000,'Scoring Rules'!$B$35,IF(S170&gt;=4000,'Scoring Rules'!$B$36,IF(S170&gt;=2000,'Scoring Rules'!$B$37,'Scoring Rules'!$B$38))))</f>
        <v/>
      </c>
      <c r="F170" s="15" t="inlineStr">
        <is>
          <t>Standard</t>
        </is>
      </c>
      <c r="G170" s="15" t="inlineStr">
        <is>
          <t>Bachelor</t>
        </is>
      </c>
      <c r="H170" s="15" t="n">
        <v>12</v>
      </c>
      <c r="I170" s="15" t="n">
        <v>6</v>
      </c>
      <c r="J170" s="15" t="n">
        <v>12</v>
      </c>
      <c r="K170" s="15" t="str"/>
      <c r="L170" s="15" t="str"/>
      <c r="M170" s="15" t="str"/>
      <c r="N170" s="15" t="str"/>
      <c r="O170" s="15" t="str"/>
      <c r="P170" s="15" t="str"/>
      <c r="Q170" s="15" t="inlineStr">
        <is>
          <t>是</t>
        </is>
      </c>
      <c r="R170" s="15" t="inlineStr">
        <is>
          <t>是</t>
        </is>
      </c>
      <c r="S170" s="15" t="n">
        <v>6930</v>
      </c>
      <c r="T170" s="15" t="inlineStr">
        <is>
          <t>Frontend; Backend/API; Mobile; Data/Database; Embedded/Systems; Testing/Automation</t>
        </is>
      </c>
      <c r="U170" s="15" t="inlineStr">
        <is>
          <t>Technology; Education/Research</t>
        </is>
      </c>
      <c r="V170" s="15" t="inlineStr">
        <is>
          <t>C:\Workspace\java\scrape_indeed\soft_dav_part_1\248.html#22428</t>
        </is>
      </c>
    </row>
    <row r="171">
      <c r="A171" s="2">
        <f>IF(COUNTIF('Sample 20'!$B$2:$B$21,B171)&gt;0,"是","")</f>
        <v/>
      </c>
      <c r="B171" s="2" t="inlineStr">
        <is>
          <t>22088</t>
        </is>
      </c>
      <c r="C171" s="15" t="inlineStr">
        <is>
          <t>Software Developer</t>
        </is>
      </c>
      <c r="D171" s="15">
        <f>IF(E171&gt;='Scoring Rules'!$B$3,"强",IF(E171&gt;='Scoring Rules'!$B$4,"中","弱"))</f>
        <v/>
      </c>
      <c r="E171" s="125">
        <f>MIN(100,H171+IF(I171&gt;=5,'Scoring Rules'!$B$16,IF(I171&gt;=3,'Scoring Rules'!$B$17,IF(I171&gt;=1,'Scoring Rules'!$B$18,'Scoring Rules'!$B$19)))+IF(L171="是",'Scoring Rules'!$B$22,0)+MIN(J171*'Scoring Rules'!$B$23,'Scoring Rules'!$B$24)+IF(M171="是",'Scoring Rules'!$B$25,0)+MIN((IF(K171="",0,LEN(K171)-LEN(SUBSTITUTE(K171,";",""))+1))*'Scoring Rules'!$B$26,'Scoring Rules'!$B$27)+IF(N171="是",'Scoring Rules'!$B$28,0)+IF(O171="是",'Scoring Rules'!$B$29,0)+IF(P171="是",'Scoring Rules'!$B$30,0)+IF(Q171="是",'Scoring Rules'!$B$31,0)+IF(R171="是",'Scoring Rules'!$B$32,0)+IF(S171&gt;=8000,'Scoring Rules'!$B$35,IF(S171&gt;=4000,'Scoring Rules'!$B$36,IF(S171&gt;=2000,'Scoring Rules'!$B$37,'Scoring Rules'!$B$38))))</f>
        <v/>
      </c>
      <c r="F171" s="15" t="inlineStr">
        <is>
          <t>Standard</t>
        </is>
      </c>
      <c r="G171" s="15" t="inlineStr">
        <is>
          <t>Master</t>
        </is>
      </c>
      <c r="H171" s="15" t="n">
        <v>16</v>
      </c>
      <c r="I171" s="15" t="n">
        <v>3</v>
      </c>
      <c r="J171" s="15" t="n">
        <v>12</v>
      </c>
      <c r="K171" s="15" t="str"/>
      <c r="L171" s="15" t="inlineStr">
        <is>
          <t>是</t>
        </is>
      </c>
      <c r="M171" s="15" t="str"/>
      <c r="N171" s="15" t="str"/>
      <c r="O171" s="15" t="str"/>
      <c r="P171" s="15" t="inlineStr">
        <is>
          <t>是</t>
        </is>
      </c>
      <c r="Q171" s="15" t="str"/>
      <c r="R171" s="15" t="inlineStr">
        <is>
          <t>是</t>
        </is>
      </c>
      <c r="S171" s="15" t="n">
        <v>1345</v>
      </c>
      <c r="T171" s="15" t="inlineStr">
        <is>
          <t>Frontend; Backend/API; Data/Database</t>
        </is>
      </c>
      <c r="U171" s="15" t="inlineStr">
        <is>
          <t>Technology; Education/Research</t>
        </is>
      </c>
      <c r="V171" s="15" t="inlineStr">
        <is>
          <t>C:\Workspace\java\scrape_indeed\soft_dav_part_1\250.html#22451</t>
        </is>
      </c>
    </row>
    <row r="172">
      <c r="A172" s="2">
        <f>IF(COUNTIF('Sample 20'!$B$2:$B$21,B172)&gt;0,"是","")</f>
        <v/>
      </c>
      <c r="B172" s="2" t="inlineStr">
        <is>
          <t>22120</t>
        </is>
      </c>
      <c r="C172" s="15" t="inlineStr">
        <is>
          <t>Software Developer</t>
        </is>
      </c>
      <c r="D172" s="15">
        <f>IF(E172&gt;='Scoring Rules'!$B$3,"强",IF(E172&gt;='Scoring Rules'!$B$4,"中","弱"))</f>
        <v/>
      </c>
      <c r="E172" s="125">
        <f>MIN(100,H172+IF(I172&gt;=5,'Scoring Rules'!$B$16,IF(I172&gt;=3,'Scoring Rules'!$B$17,IF(I172&gt;=1,'Scoring Rules'!$B$18,'Scoring Rules'!$B$19)))+IF(L172="是",'Scoring Rules'!$B$22,0)+MIN(J172*'Scoring Rules'!$B$23,'Scoring Rules'!$B$24)+IF(M172="是",'Scoring Rules'!$B$25,0)+MIN((IF(K172="",0,LEN(K172)-LEN(SUBSTITUTE(K172,";",""))+1))*'Scoring Rules'!$B$26,'Scoring Rules'!$B$27)+IF(N172="是",'Scoring Rules'!$B$28,0)+IF(O172="是",'Scoring Rules'!$B$29,0)+IF(P172="是",'Scoring Rules'!$B$30,0)+IF(Q172="是",'Scoring Rules'!$B$31,0)+IF(R172="是",'Scoring Rules'!$B$32,0)+IF(S172&gt;=8000,'Scoring Rules'!$B$35,IF(S172&gt;=4000,'Scoring Rules'!$B$36,IF(S172&gt;=2000,'Scoring Rules'!$B$37,'Scoring Rules'!$B$38))))</f>
        <v/>
      </c>
      <c r="F172" s="15" t="inlineStr">
        <is>
          <t>Standard</t>
        </is>
      </c>
      <c r="G172" s="15" t="inlineStr">
        <is>
          <t>Bachelor</t>
        </is>
      </c>
      <c r="H172" s="15" t="n">
        <v>12</v>
      </c>
      <c r="I172" s="15" t="n">
        <v>3</v>
      </c>
      <c r="J172" s="15" t="n">
        <v>9</v>
      </c>
      <c r="K172" s="15" t="str"/>
      <c r="L172" s="15" t="inlineStr">
        <is>
          <t>是</t>
        </is>
      </c>
      <c r="M172" s="15" t="str"/>
      <c r="N172" s="15" t="str"/>
      <c r="O172" s="15" t="str"/>
      <c r="P172" s="15" t="str"/>
      <c r="Q172" s="15" t="str"/>
      <c r="R172" s="15" t="str"/>
      <c r="S172" s="15" t="n">
        <v>2052</v>
      </c>
      <c r="T172" s="15" t="inlineStr">
        <is>
          <t>Frontend; Data/Database</t>
        </is>
      </c>
      <c r="U172" s="15" t="inlineStr">
        <is>
          <t>Technology; Education/Research</t>
        </is>
      </c>
      <c r="V172" s="15" t="inlineStr">
        <is>
          <t>C:\Workspace\java\scrape_indeed\soft_dav_part_1\2529.html#22483</t>
        </is>
      </c>
    </row>
    <row r="173">
      <c r="A173" s="2">
        <f>IF(COUNTIF('Sample 20'!$B$2:$B$21,B173)&gt;0,"是","")</f>
        <v/>
      </c>
      <c r="B173" s="2" t="inlineStr">
        <is>
          <t>22141</t>
        </is>
      </c>
      <c r="C173" s="15" t="inlineStr">
        <is>
          <t>Software Developer</t>
        </is>
      </c>
      <c r="D173" s="15">
        <f>IF(E173&gt;='Scoring Rules'!$B$3,"强",IF(E173&gt;='Scoring Rules'!$B$4,"中","弱"))</f>
        <v/>
      </c>
      <c r="E173" s="125">
        <f>MIN(100,H173+IF(I173&gt;=5,'Scoring Rules'!$B$16,IF(I173&gt;=3,'Scoring Rules'!$B$17,IF(I173&gt;=1,'Scoring Rules'!$B$18,'Scoring Rules'!$B$19)))+IF(L173="是",'Scoring Rules'!$B$22,0)+MIN(J173*'Scoring Rules'!$B$23,'Scoring Rules'!$B$24)+IF(M173="是",'Scoring Rules'!$B$25,0)+MIN((IF(K173="",0,LEN(K173)-LEN(SUBSTITUTE(K173,";",""))+1))*'Scoring Rules'!$B$26,'Scoring Rules'!$B$27)+IF(N173="是",'Scoring Rules'!$B$28,0)+IF(O173="是",'Scoring Rules'!$B$29,0)+IF(P173="是",'Scoring Rules'!$B$30,0)+IF(Q173="是",'Scoring Rules'!$B$31,0)+IF(R173="是",'Scoring Rules'!$B$32,0)+IF(S173&gt;=8000,'Scoring Rules'!$B$35,IF(S173&gt;=4000,'Scoring Rules'!$B$36,IF(S173&gt;=2000,'Scoring Rules'!$B$37,'Scoring Rules'!$B$38))))</f>
        <v/>
      </c>
      <c r="F173" s="15" t="inlineStr">
        <is>
          <t>Standard</t>
        </is>
      </c>
      <c r="G173" s="15" t="inlineStr">
        <is>
          <t>Doctorate</t>
        </is>
      </c>
      <c r="H173" s="15" t="n">
        <v>18</v>
      </c>
      <c r="I173" s="15" t="n">
        <v>6</v>
      </c>
      <c r="J173" s="15" t="n">
        <v>19</v>
      </c>
      <c r="K173" s="15" t="str"/>
      <c r="L173" s="15" t="inlineStr">
        <is>
          <t>是</t>
        </is>
      </c>
      <c r="M173" s="15" t="str"/>
      <c r="N173" s="15" t="str"/>
      <c r="O173" s="15" t="str"/>
      <c r="P173" s="15" t="str"/>
      <c r="Q173" s="15" t="inlineStr">
        <is>
          <t>是</t>
        </is>
      </c>
      <c r="R173" s="15" t="inlineStr">
        <is>
          <t>是</t>
        </is>
      </c>
      <c r="S173" s="15" t="n">
        <v>4492</v>
      </c>
      <c r="T173" s="15" t="inlineStr">
        <is>
          <t>Frontend; Backend/API; Data/Database; Cloud/DevOps</t>
        </is>
      </c>
      <c r="U173" s="15" t="inlineStr">
        <is>
          <t>Finance/Banking; Technology; Education/Research</t>
        </is>
      </c>
      <c r="V173" s="15" t="inlineStr">
        <is>
          <t>C:\Workspace\java\scrape_indeed\soft_dav_part_1\2548.html#22504</t>
        </is>
      </c>
    </row>
    <row r="174">
      <c r="A174" s="2">
        <f>IF(COUNTIF('Sample 20'!$B$2:$B$21,B174)&gt;0,"是","")</f>
        <v/>
      </c>
      <c r="B174" s="2" t="inlineStr">
        <is>
          <t>22156</t>
        </is>
      </c>
      <c r="C174" s="15" t="inlineStr">
        <is>
          <t>Software Developer</t>
        </is>
      </c>
      <c r="D174" s="15">
        <f>IF(E174&gt;='Scoring Rules'!$B$3,"强",IF(E174&gt;='Scoring Rules'!$B$4,"中","弱"))</f>
        <v/>
      </c>
      <c r="E174" s="125">
        <f>MIN(100,H174+IF(I174&gt;=5,'Scoring Rules'!$B$16,IF(I174&gt;=3,'Scoring Rules'!$B$17,IF(I174&gt;=1,'Scoring Rules'!$B$18,'Scoring Rules'!$B$19)))+IF(L174="是",'Scoring Rules'!$B$22,0)+MIN(J174*'Scoring Rules'!$B$23,'Scoring Rules'!$B$24)+IF(M174="是",'Scoring Rules'!$B$25,0)+MIN((IF(K174="",0,LEN(K174)-LEN(SUBSTITUTE(K174,";",""))+1))*'Scoring Rules'!$B$26,'Scoring Rules'!$B$27)+IF(N174="是",'Scoring Rules'!$B$28,0)+IF(O174="是",'Scoring Rules'!$B$29,0)+IF(P174="是",'Scoring Rules'!$B$30,0)+IF(Q174="是",'Scoring Rules'!$B$31,0)+IF(R174="是",'Scoring Rules'!$B$32,0)+IF(S174&gt;=8000,'Scoring Rules'!$B$35,IF(S174&gt;=4000,'Scoring Rules'!$B$36,IF(S174&gt;=2000,'Scoring Rules'!$B$37,'Scoring Rules'!$B$38))))</f>
        <v/>
      </c>
      <c r="F174" s="15" t="inlineStr">
        <is>
          <t>Standard</t>
        </is>
      </c>
      <c r="G174" s="15" t="inlineStr">
        <is>
          <t>Certificate</t>
        </is>
      </c>
      <c r="H174" s="15" t="n">
        <v>6</v>
      </c>
      <c r="I174" s="15" t="n">
        <v>3</v>
      </c>
      <c r="J174" s="15" t="n">
        <v>14</v>
      </c>
      <c r="K174" s="15" t="str"/>
      <c r="L174" s="15" t="inlineStr">
        <is>
          <t>是</t>
        </is>
      </c>
      <c r="M174" s="15" t="str"/>
      <c r="N174" s="15" t="str"/>
      <c r="O174" s="15" t="inlineStr">
        <is>
          <t>是</t>
        </is>
      </c>
      <c r="P174" s="15" t="str"/>
      <c r="Q174" s="15" t="str"/>
      <c r="R174" s="15" t="str"/>
      <c r="S174" s="15" t="n">
        <v>2944</v>
      </c>
      <c r="T174" s="15" t="inlineStr">
        <is>
          <t>Frontend; Backend/API; Data/Database</t>
        </is>
      </c>
      <c r="U174" s="15" t="inlineStr">
        <is>
          <t>Technology; Telecom; Education/Research</t>
        </is>
      </c>
      <c r="V174" s="15" t="inlineStr">
        <is>
          <t>C:\Workspace\java\scrape_indeed\soft_dav_part_1\2562.html#22520</t>
        </is>
      </c>
    </row>
    <row r="175">
      <c r="A175" s="2">
        <f>IF(COUNTIF('Sample 20'!$B$2:$B$21,B175)&gt;0,"是","")</f>
        <v/>
      </c>
      <c r="B175" s="2" t="inlineStr">
        <is>
          <t>22171</t>
        </is>
      </c>
      <c r="C175" s="15" t="inlineStr">
        <is>
          <t>Software Developer</t>
        </is>
      </c>
      <c r="D175" s="15">
        <f>IF(E175&gt;='Scoring Rules'!$B$3,"强",IF(E175&gt;='Scoring Rules'!$B$4,"中","弱"))</f>
        <v/>
      </c>
      <c r="E175" s="125">
        <f>MIN(100,H175+IF(I175&gt;=5,'Scoring Rules'!$B$16,IF(I175&gt;=3,'Scoring Rules'!$B$17,IF(I175&gt;=1,'Scoring Rules'!$B$18,'Scoring Rules'!$B$19)))+IF(L175="是",'Scoring Rules'!$B$22,0)+MIN(J175*'Scoring Rules'!$B$23,'Scoring Rules'!$B$24)+IF(M175="是",'Scoring Rules'!$B$25,0)+MIN((IF(K175="",0,LEN(K175)-LEN(SUBSTITUTE(K175,";",""))+1))*'Scoring Rules'!$B$26,'Scoring Rules'!$B$27)+IF(N175="是",'Scoring Rules'!$B$28,0)+IF(O175="是",'Scoring Rules'!$B$29,0)+IF(P175="是",'Scoring Rules'!$B$30,0)+IF(Q175="是",'Scoring Rules'!$B$31,0)+IF(R175="是",'Scoring Rules'!$B$32,0)+IF(S175&gt;=8000,'Scoring Rules'!$B$35,IF(S175&gt;=4000,'Scoring Rules'!$B$36,IF(S175&gt;=2000,'Scoring Rules'!$B$37,'Scoring Rules'!$B$38))))</f>
        <v/>
      </c>
      <c r="F175" s="15" t="inlineStr">
        <is>
          <t>Standard</t>
        </is>
      </c>
      <c r="G175" s="15" t="inlineStr">
        <is>
          <t>Bachelor</t>
        </is>
      </c>
      <c r="H175" s="15" t="n">
        <v>12</v>
      </c>
      <c r="I175" s="15" t="n">
        <v>4</v>
      </c>
      <c r="J175" s="15" t="n">
        <v>11</v>
      </c>
      <c r="K175" s="15" t="str"/>
      <c r="L175" s="15" t="inlineStr">
        <is>
          <t>是</t>
        </is>
      </c>
      <c r="M175" s="15" t="str"/>
      <c r="N175" s="15" t="str"/>
      <c r="O175" s="15" t="str"/>
      <c r="P175" s="15" t="str"/>
      <c r="Q175" s="15" t="str"/>
      <c r="R175" s="15" t="inlineStr">
        <is>
          <t>是</t>
        </is>
      </c>
      <c r="S175" s="15" t="n">
        <v>2899</v>
      </c>
      <c r="T175" s="15" t="inlineStr">
        <is>
          <t>Frontend; Data/Database</t>
        </is>
      </c>
      <c r="U175" s="15" t="inlineStr">
        <is>
          <t>Technology; Education/Research</t>
        </is>
      </c>
      <c r="V175" s="15" t="inlineStr">
        <is>
          <t>C:\Workspace\java\scrape_indeed\soft_dav_part_1\2576.html#22535</t>
        </is>
      </c>
    </row>
    <row r="176">
      <c r="A176" s="2">
        <f>IF(COUNTIF('Sample 20'!$B$2:$B$21,B176)&gt;0,"是","")</f>
        <v/>
      </c>
      <c r="B176" s="2" t="inlineStr">
        <is>
          <t>22196</t>
        </is>
      </c>
      <c r="C176" s="15" t="inlineStr">
        <is>
          <t>Software Developer</t>
        </is>
      </c>
      <c r="D176" s="15">
        <f>IF(E176&gt;='Scoring Rules'!$B$3,"强",IF(E176&gt;='Scoring Rules'!$B$4,"中","弱"))</f>
        <v/>
      </c>
      <c r="E176" s="125">
        <f>MIN(100,H176+IF(I176&gt;=5,'Scoring Rules'!$B$16,IF(I176&gt;=3,'Scoring Rules'!$B$17,IF(I176&gt;=1,'Scoring Rules'!$B$18,'Scoring Rules'!$B$19)))+IF(L176="是",'Scoring Rules'!$B$22,0)+MIN(J176*'Scoring Rules'!$B$23,'Scoring Rules'!$B$24)+IF(M176="是",'Scoring Rules'!$B$25,0)+MIN((IF(K176="",0,LEN(K176)-LEN(SUBSTITUTE(K176,";",""))+1))*'Scoring Rules'!$B$26,'Scoring Rules'!$B$27)+IF(N176="是",'Scoring Rules'!$B$28,0)+IF(O176="是",'Scoring Rules'!$B$29,0)+IF(P176="是",'Scoring Rules'!$B$30,0)+IF(Q176="是",'Scoring Rules'!$B$31,0)+IF(R176="是",'Scoring Rules'!$B$32,0)+IF(S176&gt;=8000,'Scoring Rules'!$B$35,IF(S176&gt;=4000,'Scoring Rules'!$B$36,IF(S176&gt;=2000,'Scoring Rules'!$B$37,'Scoring Rules'!$B$38))))</f>
        <v/>
      </c>
      <c r="F176" s="15" t="inlineStr">
        <is>
          <t>Standard</t>
        </is>
      </c>
      <c r="G176" s="15" t="inlineStr">
        <is>
          <t>Unspecified</t>
        </is>
      </c>
      <c r="H176" s="15" t="n">
        <v>2</v>
      </c>
      <c r="I176" s="15" t="n">
        <v>3</v>
      </c>
      <c r="J176" s="15" t="n">
        <v>9</v>
      </c>
      <c r="K176" s="15" t="str"/>
      <c r="L176" s="15" t="inlineStr">
        <is>
          <t>是</t>
        </is>
      </c>
      <c r="M176" s="15" t="inlineStr">
        <is>
          <t>是</t>
        </is>
      </c>
      <c r="N176" s="15" t="str"/>
      <c r="O176" s="15" t="str"/>
      <c r="P176" s="15" t="str"/>
      <c r="Q176" s="15" t="inlineStr">
        <is>
          <t>是</t>
        </is>
      </c>
      <c r="R176" s="15" t="inlineStr">
        <is>
          <t>是</t>
        </is>
      </c>
      <c r="S176" s="15" t="n">
        <v>5797</v>
      </c>
      <c r="T176" s="15" t="inlineStr">
        <is>
          <t>Backend/API; Data/Database</t>
        </is>
      </c>
      <c r="U176" s="15" t="inlineStr">
        <is>
          <t>Finance/Banking; Technology; Telecom; Education/Research</t>
        </is>
      </c>
      <c r="V176" s="15" t="inlineStr">
        <is>
          <t>C:\Workspace\java\scrape_indeed\soft_dav_part_1\2599.html#22560</t>
        </is>
      </c>
    </row>
    <row r="177">
      <c r="A177" s="2">
        <f>IF(COUNTIF('Sample 20'!$B$2:$B$21,B177)&gt;0,"是","")</f>
        <v/>
      </c>
      <c r="B177" s="2" t="inlineStr">
        <is>
          <t>22197</t>
        </is>
      </c>
      <c r="C177" s="15" t="inlineStr">
        <is>
          <t>Software Developer</t>
        </is>
      </c>
      <c r="D177" s="15">
        <f>IF(E177&gt;='Scoring Rules'!$B$3,"强",IF(E177&gt;='Scoring Rules'!$B$4,"中","弱"))</f>
        <v/>
      </c>
      <c r="E177" s="125">
        <f>MIN(100,H177+IF(I177&gt;=5,'Scoring Rules'!$B$16,IF(I177&gt;=3,'Scoring Rules'!$B$17,IF(I177&gt;=1,'Scoring Rules'!$B$18,'Scoring Rules'!$B$19)))+IF(L177="是",'Scoring Rules'!$B$22,0)+MIN(J177*'Scoring Rules'!$B$23,'Scoring Rules'!$B$24)+IF(M177="是",'Scoring Rules'!$B$25,0)+MIN((IF(K177="",0,LEN(K177)-LEN(SUBSTITUTE(K177,";",""))+1))*'Scoring Rules'!$B$26,'Scoring Rules'!$B$27)+IF(N177="是",'Scoring Rules'!$B$28,0)+IF(O177="是",'Scoring Rules'!$B$29,0)+IF(P177="是",'Scoring Rules'!$B$30,0)+IF(Q177="是",'Scoring Rules'!$B$31,0)+IF(R177="是",'Scoring Rules'!$B$32,0)+IF(S177&gt;=8000,'Scoring Rules'!$B$35,IF(S177&gt;=4000,'Scoring Rules'!$B$36,IF(S177&gt;=2000,'Scoring Rules'!$B$37,'Scoring Rules'!$B$38))))</f>
        <v/>
      </c>
      <c r="F177" s="15" t="inlineStr">
        <is>
          <t>Standard</t>
        </is>
      </c>
      <c r="G177" s="15" t="inlineStr">
        <is>
          <t>Bachelor</t>
        </is>
      </c>
      <c r="H177" s="15" t="n">
        <v>12</v>
      </c>
      <c r="I177" s="15" t="n">
        <v>2</v>
      </c>
      <c r="J177" s="15" t="n">
        <v>13</v>
      </c>
      <c r="K177" s="15" t="str"/>
      <c r="L177" s="15" t="inlineStr">
        <is>
          <t>是</t>
        </is>
      </c>
      <c r="M177" s="15" t="str"/>
      <c r="N177" s="15" t="str"/>
      <c r="O177" s="15" t="str"/>
      <c r="P177" s="15" t="str"/>
      <c r="Q177" s="15" t="inlineStr">
        <is>
          <t>是</t>
        </is>
      </c>
      <c r="R177" s="15" t="str"/>
      <c r="S177" s="15" t="n">
        <v>2367</v>
      </c>
      <c r="T177" s="15" t="inlineStr">
        <is>
          <t>Frontend; Backend/API; Data/Database; Testing/Automation</t>
        </is>
      </c>
      <c r="U177" s="15" t="inlineStr">
        <is>
          <t>Technology; Education/Research</t>
        </is>
      </c>
      <c r="V177" s="15" t="inlineStr">
        <is>
          <t>C:\Workspace\java\scrape_indeed\soft_dav_part_1\26.html#22561</t>
        </is>
      </c>
    </row>
    <row r="178">
      <c r="A178" s="2">
        <f>IF(COUNTIF('Sample 20'!$B$2:$B$21,B178)&gt;0,"是","")</f>
        <v/>
      </c>
      <c r="B178" s="2" t="inlineStr">
        <is>
          <t>22235</t>
        </is>
      </c>
      <c r="C178" s="15" t="inlineStr">
        <is>
          <t>Software Developer</t>
        </is>
      </c>
      <c r="D178" s="15">
        <f>IF(E178&gt;='Scoring Rules'!$B$3,"强",IF(E178&gt;='Scoring Rules'!$B$4,"中","弱"))</f>
        <v/>
      </c>
      <c r="E178" s="125">
        <f>MIN(100,H178+IF(I178&gt;=5,'Scoring Rules'!$B$16,IF(I178&gt;=3,'Scoring Rules'!$B$17,IF(I178&gt;=1,'Scoring Rules'!$B$18,'Scoring Rules'!$B$19)))+IF(L178="是",'Scoring Rules'!$B$22,0)+MIN(J178*'Scoring Rules'!$B$23,'Scoring Rules'!$B$24)+IF(M178="是",'Scoring Rules'!$B$25,0)+MIN((IF(K178="",0,LEN(K178)-LEN(SUBSTITUTE(K178,";",""))+1))*'Scoring Rules'!$B$26,'Scoring Rules'!$B$27)+IF(N178="是",'Scoring Rules'!$B$28,0)+IF(O178="是",'Scoring Rules'!$B$29,0)+IF(P178="是",'Scoring Rules'!$B$30,0)+IF(Q178="是",'Scoring Rules'!$B$31,0)+IF(R178="是",'Scoring Rules'!$B$32,0)+IF(S178&gt;=8000,'Scoring Rules'!$B$35,IF(S178&gt;=4000,'Scoring Rules'!$B$36,IF(S178&gt;=2000,'Scoring Rules'!$B$37,'Scoring Rules'!$B$38))))</f>
        <v/>
      </c>
      <c r="F178" s="15" t="inlineStr">
        <is>
          <t>Standard</t>
        </is>
      </c>
      <c r="G178" s="15" t="inlineStr">
        <is>
          <t>Bachelor</t>
        </is>
      </c>
      <c r="H178" s="15" t="n">
        <v>12</v>
      </c>
      <c r="I178" s="15" t="n">
        <v>7</v>
      </c>
      <c r="J178" s="15" t="n">
        <v>3</v>
      </c>
      <c r="K178" s="15" t="str"/>
      <c r="L178" s="15" t="inlineStr">
        <is>
          <t>是</t>
        </is>
      </c>
      <c r="M178" s="15" t="str"/>
      <c r="N178" s="15" t="str"/>
      <c r="O178" s="15" t="inlineStr">
        <is>
          <t>是</t>
        </is>
      </c>
      <c r="P178" s="15" t="str"/>
      <c r="Q178" s="15" t="inlineStr">
        <is>
          <t>是</t>
        </is>
      </c>
      <c r="R178" s="15" t="inlineStr">
        <is>
          <t>是</t>
        </is>
      </c>
      <c r="S178" s="15" t="n">
        <v>7304</v>
      </c>
      <c r="T178" s="15" t="inlineStr">
        <is>
          <t>Embedded/Systems; Testing/Automation</t>
        </is>
      </c>
      <c r="U178" s="15" t="inlineStr">
        <is>
          <t>Technology</t>
        </is>
      </c>
      <c r="V178" s="15" t="inlineStr">
        <is>
          <t>C:\Workspace\java\scrape_indeed\soft_dav_part_1\2633.html#22599</t>
        </is>
      </c>
    </row>
    <row r="179">
      <c r="A179" s="2">
        <f>IF(COUNTIF('Sample 20'!$B$2:$B$21,B179)&gt;0,"是","")</f>
        <v/>
      </c>
      <c r="B179" s="2" t="inlineStr">
        <is>
          <t>22236</t>
        </is>
      </c>
      <c r="C179" s="15" t="inlineStr">
        <is>
          <t>Software Developer</t>
        </is>
      </c>
      <c r="D179" s="15">
        <f>IF(E179&gt;='Scoring Rules'!$B$3,"强",IF(E179&gt;='Scoring Rules'!$B$4,"中","弱"))</f>
        <v/>
      </c>
      <c r="E179" s="125">
        <f>MIN(100,H179+IF(I179&gt;=5,'Scoring Rules'!$B$16,IF(I179&gt;=3,'Scoring Rules'!$B$17,IF(I179&gt;=1,'Scoring Rules'!$B$18,'Scoring Rules'!$B$19)))+IF(L179="是",'Scoring Rules'!$B$22,0)+MIN(J179*'Scoring Rules'!$B$23,'Scoring Rules'!$B$24)+IF(M179="是",'Scoring Rules'!$B$25,0)+MIN((IF(K179="",0,LEN(K179)-LEN(SUBSTITUTE(K179,";",""))+1))*'Scoring Rules'!$B$26,'Scoring Rules'!$B$27)+IF(N179="是",'Scoring Rules'!$B$28,0)+IF(O179="是",'Scoring Rules'!$B$29,0)+IF(P179="是",'Scoring Rules'!$B$30,0)+IF(Q179="是",'Scoring Rules'!$B$31,0)+IF(R179="是",'Scoring Rules'!$B$32,0)+IF(S179&gt;=8000,'Scoring Rules'!$B$35,IF(S179&gt;=4000,'Scoring Rules'!$B$36,IF(S179&gt;=2000,'Scoring Rules'!$B$37,'Scoring Rules'!$B$38))))</f>
        <v/>
      </c>
      <c r="F179" s="15" t="inlineStr">
        <is>
          <t>Standard</t>
        </is>
      </c>
      <c r="G179" s="15" t="inlineStr">
        <is>
          <t>High School</t>
        </is>
      </c>
      <c r="H179" s="15" t="n">
        <v>5</v>
      </c>
      <c r="I179" s="15" t="n">
        <v>12</v>
      </c>
      <c r="J179" s="15" t="n">
        <v>19</v>
      </c>
      <c r="K179" s="15" t="str"/>
      <c r="L179" s="15" t="inlineStr">
        <is>
          <t>是</t>
        </is>
      </c>
      <c r="M179" s="15" t="str"/>
      <c r="N179" s="15" t="str"/>
      <c r="O179" s="15" t="str"/>
      <c r="P179" s="15" t="str"/>
      <c r="Q179" s="15" t="str"/>
      <c r="R179" s="15" t="inlineStr">
        <is>
          <t>是</t>
        </is>
      </c>
      <c r="S179" s="15" t="n">
        <v>7239</v>
      </c>
      <c r="T179" s="15" t="inlineStr">
        <is>
          <t>Frontend; Backend/API; Mobile; Data/Database; Embedded/Systems; Testing/Automation</t>
        </is>
      </c>
      <c r="U179" s="15" t="inlineStr">
        <is>
          <t>Finance/Banking; Healthcare; Government/Defense; Technology; Education/Research</t>
        </is>
      </c>
      <c r="V179" s="15" t="inlineStr">
        <is>
          <t>C:\Workspace\java\scrape_indeed\soft_dav_part_1\2634.html#22600</t>
        </is>
      </c>
    </row>
    <row r="180">
      <c r="A180" s="2">
        <f>IF(COUNTIF('Sample 20'!$B$2:$B$21,B180)&gt;0,"是","")</f>
        <v/>
      </c>
      <c r="B180" s="2" t="inlineStr">
        <is>
          <t>22254</t>
        </is>
      </c>
      <c r="C180" s="15" t="inlineStr">
        <is>
          <t>Software Developer</t>
        </is>
      </c>
      <c r="D180" s="15">
        <f>IF(E180&gt;='Scoring Rules'!$B$3,"强",IF(E180&gt;='Scoring Rules'!$B$4,"中","弱"))</f>
        <v/>
      </c>
      <c r="E180" s="125">
        <f>MIN(100,H180+IF(I180&gt;=5,'Scoring Rules'!$B$16,IF(I180&gt;=3,'Scoring Rules'!$B$17,IF(I180&gt;=1,'Scoring Rules'!$B$18,'Scoring Rules'!$B$19)))+IF(L180="是",'Scoring Rules'!$B$22,0)+MIN(J180*'Scoring Rules'!$B$23,'Scoring Rules'!$B$24)+IF(M180="是",'Scoring Rules'!$B$25,0)+MIN((IF(K180="",0,LEN(K180)-LEN(SUBSTITUTE(K180,";",""))+1))*'Scoring Rules'!$B$26,'Scoring Rules'!$B$27)+IF(N180="是",'Scoring Rules'!$B$28,0)+IF(O180="是",'Scoring Rules'!$B$29,0)+IF(P180="是",'Scoring Rules'!$B$30,0)+IF(Q180="是",'Scoring Rules'!$B$31,0)+IF(R180="是",'Scoring Rules'!$B$32,0)+IF(S180&gt;=8000,'Scoring Rules'!$B$35,IF(S180&gt;=4000,'Scoring Rules'!$B$36,IF(S180&gt;=2000,'Scoring Rules'!$B$37,'Scoring Rules'!$B$38))))</f>
        <v/>
      </c>
      <c r="F180" s="15" t="inlineStr">
        <is>
          <t>Standard</t>
        </is>
      </c>
      <c r="G180" s="15" t="inlineStr">
        <is>
          <t>Bachelor</t>
        </is>
      </c>
      <c r="H180" s="15" t="n">
        <v>12</v>
      </c>
      <c r="I180" s="15" t="n">
        <v>6</v>
      </c>
      <c r="J180" s="15" t="n">
        <v>11</v>
      </c>
      <c r="K180" s="15" t="str"/>
      <c r="L180" s="15" t="inlineStr">
        <is>
          <t>是</t>
        </is>
      </c>
      <c r="M180" s="15" t="str"/>
      <c r="N180" s="15" t="str"/>
      <c r="O180" s="15" t="str"/>
      <c r="P180" s="15" t="str"/>
      <c r="Q180" s="15" t="str"/>
      <c r="R180" s="15" t="str"/>
      <c r="S180" s="15" t="n">
        <v>2071</v>
      </c>
      <c r="T180" s="15" t="inlineStr">
        <is>
          <t>Frontend; Backend/API; Mobile; Data/Database</t>
        </is>
      </c>
      <c r="U180" s="15" t="inlineStr">
        <is>
          <t>Technology</t>
        </is>
      </c>
      <c r="V180" s="15" t="inlineStr">
        <is>
          <t>C:\Workspace\java\scrape_indeed\soft_dav_part_1\2651.html#22619</t>
        </is>
      </c>
    </row>
    <row r="181">
      <c r="A181" s="2">
        <f>IF(COUNTIF('Sample 20'!$B$2:$B$21,B181)&gt;0,"是","")</f>
        <v/>
      </c>
      <c r="B181" s="2" t="inlineStr">
        <is>
          <t>22257</t>
        </is>
      </c>
      <c r="C181" s="15" t="inlineStr">
        <is>
          <t>Software Developer</t>
        </is>
      </c>
      <c r="D181" s="15">
        <f>IF(E181&gt;='Scoring Rules'!$B$3,"强",IF(E181&gt;='Scoring Rules'!$B$4,"中","弱"))</f>
        <v/>
      </c>
      <c r="E181" s="125">
        <f>MIN(100,H181+IF(I181&gt;=5,'Scoring Rules'!$B$16,IF(I181&gt;=3,'Scoring Rules'!$B$17,IF(I181&gt;=1,'Scoring Rules'!$B$18,'Scoring Rules'!$B$19)))+IF(L181="是",'Scoring Rules'!$B$22,0)+MIN(J181*'Scoring Rules'!$B$23,'Scoring Rules'!$B$24)+IF(M181="是",'Scoring Rules'!$B$25,0)+MIN((IF(K181="",0,LEN(K181)-LEN(SUBSTITUTE(K181,";",""))+1))*'Scoring Rules'!$B$26,'Scoring Rules'!$B$27)+IF(N181="是",'Scoring Rules'!$B$28,0)+IF(O181="是",'Scoring Rules'!$B$29,0)+IF(P181="是",'Scoring Rules'!$B$30,0)+IF(Q181="是",'Scoring Rules'!$B$31,0)+IF(R181="是",'Scoring Rules'!$B$32,0)+IF(S181&gt;=8000,'Scoring Rules'!$B$35,IF(S181&gt;=4000,'Scoring Rules'!$B$36,IF(S181&gt;=2000,'Scoring Rules'!$B$37,'Scoring Rules'!$B$38))))</f>
        <v/>
      </c>
      <c r="F181" s="15" t="inlineStr">
        <is>
          <t>Standard</t>
        </is>
      </c>
      <c r="G181" s="15" t="inlineStr">
        <is>
          <t>Unspecified</t>
        </is>
      </c>
      <c r="H181" s="15" t="n">
        <v>2</v>
      </c>
      <c r="I181" s="15" t="n">
        <v>13</v>
      </c>
      <c r="J181" s="15" t="n">
        <v>27</v>
      </c>
      <c r="K181" s="15" t="str"/>
      <c r="L181" s="15" t="inlineStr">
        <is>
          <t>是</t>
        </is>
      </c>
      <c r="M181" s="15" t="str"/>
      <c r="N181" s="15" t="str"/>
      <c r="O181" s="15" t="inlineStr">
        <is>
          <t>是</t>
        </is>
      </c>
      <c r="P181" s="15" t="str"/>
      <c r="Q181" s="15" t="inlineStr">
        <is>
          <t>是</t>
        </is>
      </c>
      <c r="R181" s="15" t="inlineStr">
        <is>
          <t>是</t>
        </is>
      </c>
      <c r="S181" s="15" t="n">
        <v>11511</v>
      </c>
      <c r="T181" s="15" t="inlineStr">
        <is>
          <t>Frontend; Backend/API; Mobile; Data/Database; Cloud/DevOps; Testing/Automation</t>
        </is>
      </c>
      <c r="U181" s="15" t="inlineStr">
        <is>
          <t>Finance/Banking; Technology; Consulting; Education/Research; Manufacturing/Automotive</t>
        </is>
      </c>
      <c r="V181" s="15" t="inlineStr">
        <is>
          <t>C:\Workspace\java\scrape_indeed\soft_dav_part_1\2654.html#22622</t>
        </is>
      </c>
    </row>
    <row r="182">
      <c r="A182" s="2">
        <f>IF(COUNTIF('Sample 20'!$B$2:$B$21,B182)&gt;0,"是","")</f>
        <v/>
      </c>
      <c r="B182" s="2" t="inlineStr">
        <is>
          <t>22294</t>
        </is>
      </c>
      <c r="C182" s="15" t="inlineStr">
        <is>
          <t>Software Developer</t>
        </is>
      </c>
      <c r="D182" s="15">
        <f>IF(E182&gt;='Scoring Rules'!$B$3,"强",IF(E182&gt;='Scoring Rules'!$B$4,"中","弱"))</f>
        <v/>
      </c>
      <c r="E182" s="125">
        <f>MIN(100,H182+IF(I182&gt;=5,'Scoring Rules'!$B$16,IF(I182&gt;=3,'Scoring Rules'!$B$17,IF(I182&gt;=1,'Scoring Rules'!$B$18,'Scoring Rules'!$B$19)))+IF(L182="是",'Scoring Rules'!$B$22,0)+MIN(J182*'Scoring Rules'!$B$23,'Scoring Rules'!$B$24)+IF(M182="是",'Scoring Rules'!$B$25,0)+MIN((IF(K182="",0,LEN(K182)-LEN(SUBSTITUTE(K182,";",""))+1))*'Scoring Rules'!$B$26,'Scoring Rules'!$B$27)+IF(N182="是",'Scoring Rules'!$B$28,0)+IF(O182="是",'Scoring Rules'!$B$29,0)+IF(P182="是",'Scoring Rules'!$B$30,0)+IF(Q182="是",'Scoring Rules'!$B$31,0)+IF(R182="是",'Scoring Rules'!$B$32,0)+IF(S182&gt;=8000,'Scoring Rules'!$B$35,IF(S182&gt;=4000,'Scoring Rules'!$B$36,IF(S182&gt;=2000,'Scoring Rules'!$B$37,'Scoring Rules'!$B$38))))</f>
        <v/>
      </c>
      <c r="F182" s="15" t="inlineStr">
        <is>
          <t>Standard</t>
        </is>
      </c>
      <c r="G182" s="15" t="inlineStr">
        <is>
          <t>Unspecified</t>
        </is>
      </c>
      <c r="H182" s="15" t="n">
        <v>2</v>
      </c>
      <c r="I182" s="15" t="n">
        <v>4</v>
      </c>
      <c r="J182" s="15" t="n">
        <v>17</v>
      </c>
      <c r="K182" s="15" t="str"/>
      <c r="L182" s="15" t="str"/>
      <c r="M182" s="15" t="str"/>
      <c r="N182" s="15" t="str"/>
      <c r="O182" s="15" t="str"/>
      <c r="P182" s="15" t="str"/>
      <c r="Q182" s="15" t="inlineStr">
        <is>
          <t>是</t>
        </is>
      </c>
      <c r="R182" s="15" t="inlineStr">
        <is>
          <t>是</t>
        </is>
      </c>
      <c r="S182" s="15" t="n">
        <v>5213</v>
      </c>
      <c r="T182" s="15" t="inlineStr">
        <is>
          <t>Frontend; Backend/API; Data/Database; Cloud/DevOps; Testing/Automation</t>
        </is>
      </c>
      <c r="U182" s="15" t="inlineStr">
        <is>
          <t>Finance/Banking; Technology</t>
        </is>
      </c>
      <c r="V182" s="15" t="inlineStr">
        <is>
          <t>C:\Workspace\java\scrape_indeed\soft_dav_part_1\2688.html#22659</t>
        </is>
      </c>
    </row>
    <row r="183">
      <c r="A183" s="2">
        <f>IF(COUNTIF('Sample 20'!$B$2:$B$21,B183)&gt;0,"是","")</f>
        <v/>
      </c>
      <c r="B183" s="2" t="inlineStr">
        <is>
          <t>22296</t>
        </is>
      </c>
      <c r="C183" s="15" t="inlineStr">
        <is>
          <t>Software Developer</t>
        </is>
      </c>
      <c r="D183" s="15">
        <f>IF(E183&gt;='Scoring Rules'!$B$3,"强",IF(E183&gt;='Scoring Rules'!$B$4,"中","弱"))</f>
        <v/>
      </c>
      <c r="E183" s="125">
        <f>MIN(100,H183+IF(I183&gt;=5,'Scoring Rules'!$B$16,IF(I183&gt;=3,'Scoring Rules'!$B$17,IF(I183&gt;=1,'Scoring Rules'!$B$18,'Scoring Rules'!$B$19)))+IF(L183="是",'Scoring Rules'!$B$22,0)+MIN(J183*'Scoring Rules'!$B$23,'Scoring Rules'!$B$24)+IF(M183="是",'Scoring Rules'!$B$25,0)+MIN((IF(K183="",0,LEN(K183)-LEN(SUBSTITUTE(K183,";",""))+1))*'Scoring Rules'!$B$26,'Scoring Rules'!$B$27)+IF(N183="是",'Scoring Rules'!$B$28,0)+IF(O183="是",'Scoring Rules'!$B$29,0)+IF(P183="是",'Scoring Rules'!$B$30,0)+IF(Q183="是",'Scoring Rules'!$B$31,0)+IF(R183="是",'Scoring Rules'!$B$32,0)+IF(S183&gt;=8000,'Scoring Rules'!$B$35,IF(S183&gt;=4000,'Scoring Rules'!$B$36,IF(S183&gt;=2000,'Scoring Rules'!$B$37,'Scoring Rules'!$B$38))))</f>
        <v/>
      </c>
      <c r="F183" s="15" t="inlineStr">
        <is>
          <t>Standard</t>
        </is>
      </c>
      <c r="G183" s="15" t="inlineStr">
        <is>
          <t>Bachelor</t>
        </is>
      </c>
      <c r="H183" s="15" t="n">
        <v>12</v>
      </c>
      <c r="I183" s="15" t="n">
        <v>3</v>
      </c>
      <c r="J183" s="15" t="n">
        <v>14</v>
      </c>
      <c r="K183" s="15" t="str"/>
      <c r="L183" s="15" t="inlineStr">
        <is>
          <t>是</t>
        </is>
      </c>
      <c r="M183" s="15" t="str"/>
      <c r="N183" s="15" t="str"/>
      <c r="O183" s="15" t="str"/>
      <c r="P183" s="15" t="inlineStr">
        <is>
          <t>是</t>
        </is>
      </c>
      <c r="Q183" s="15" t="inlineStr">
        <is>
          <t>是</t>
        </is>
      </c>
      <c r="R183" s="15" t="inlineStr">
        <is>
          <t>是</t>
        </is>
      </c>
      <c r="S183" s="15" t="n">
        <v>1695</v>
      </c>
      <c r="T183" s="15" t="inlineStr">
        <is>
          <t>Frontend; Backend/API; Mobile; Data/Database; Cloud/DevOps; Testing/Automation</t>
        </is>
      </c>
      <c r="U183" s="15" t="inlineStr">
        <is>
          <t>Finance/Banking; Technology; Consulting; Education/Research</t>
        </is>
      </c>
      <c r="V183" s="15" t="inlineStr">
        <is>
          <t>C:\Workspace\java\scrape_indeed\soft_dav_part_1\269.html#22661</t>
        </is>
      </c>
    </row>
    <row r="184">
      <c r="A184" s="2">
        <f>IF(COUNTIF('Sample 20'!$B$2:$B$21,B184)&gt;0,"是","")</f>
        <v/>
      </c>
      <c r="B184" s="2" t="inlineStr">
        <is>
          <t>22298</t>
        </is>
      </c>
      <c r="C184" s="15" t="inlineStr">
        <is>
          <t>Software Developer</t>
        </is>
      </c>
      <c r="D184" s="15">
        <f>IF(E184&gt;='Scoring Rules'!$B$3,"强",IF(E184&gt;='Scoring Rules'!$B$4,"中","弱"))</f>
        <v/>
      </c>
      <c r="E184" s="125">
        <f>MIN(100,H184+IF(I184&gt;=5,'Scoring Rules'!$B$16,IF(I184&gt;=3,'Scoring Rules'!$B$17,IF(I184&gt;=1,'Scoring Rules'!$B$18,'Scoring Rules'!$B$19)))+IF(L184="是",'Scoring Rules'!$B$22,0)+MIN(J184*'Scoring Rules'!$B$23,'Scoring Rules'!$B$24)+IF(M184="是",'Scoring Rules'!$B$25,0)+MIN((IF(K184="",0,LEN(K184)-LEN(SUBSTITUTE(K184,";",""))+1))*'Scoring Rules'!$B$26,'Scoring Rules'!$B$27)+IF(N184="是",'Scoring Rules'!$B$28,0)+IF(O184="是",'Scoring Rules'!$B$29,0)+IF(P184="是",'Scoring Rules'!$B$30,0)+IF(Q184="是",'Scoring Rules'!$B$31,0)+IF(R184="是",'Scoring Rules'!$B$32,0)+IF(S184&gt;=8000,'Scoring Rules'!$B$35,IF(S184&gt;=4000,'Scoring Rules'!$B$36,IF(S184&gt;=2000,'Scoring Rules'!$B$37,'Scoring Rules'!$B$38))))</f>
        <v/>
      </c>
      <c r="F184" s="15" t="inlineStr">
        <is>
          <t>Standard</t>
        </is>
      </c>
      <c r="G184" s="15" t="inlineStr">
        <is>
          <t>Bachelor</t>
        </is>
      </c>
      <c r="H184" s="15" t="n">
        <v>12</v>
      </c>
      <c r="I184" s="15" t="n">
        <v>1</v>
      </c>
      <c r="J184" s="15" t="n">
        <v>16</v>
      </c>
      <c r="K184" s="15" t="str"/>
      <c r="L184" s="15" t="inlineStr">
        <is>
          <t>是</t>
        </is>
      </c>
      <c r="M184" s="15" t="str"/>
      <c r="N184" s="15" t="str"/>
      <c r="O184" s="15" t="str"/>
      <c r="P184" s="15" t="str"/>
      <c r="Q184" s="15" t="inlineStr">
        <is>
          <t>是</t>
        </is>
      </c>
      <c r="R184" s="15" t="str"/>
      <c r="S184" s="15" t="n">
        <v>2177</v>
      </c>
      <c r="T184" s="15" t="inlineStr">
        <is>
          <t>Frontend; Backend/API; Mobile; Data/Database; Cloud/DevOps</t>
        </is>
      </c>
      <c r="U184" s="15" t="inlineStr">
        <is>
          <t>Technology; Education/Research; Manufacturing/Automotive</t>
        </is>
      </c>
      <c r="V184" s="15" t="inlineStr">
        <is>
          <t>C:\Workspace\java\scrape_indeed\soft_dav_part_1\2692.html#22664</t>
        </is>
      </c>
    </row>
    <row r="185">
      <c r="A185" s="2">
        <f>IF(COUNTIF('Sample 20'!$B$2:$B$21,B185)&gt;0,"是","")</f>
        <v/>
      </c>
      <c r="B185" s="2" t="inlineStr">
        <is>
          <t>22301</t>
        </is>
      </c>
      <c r="C185" s="15" t="inlineStr">
        <is>
          <t>Software Developer</t>
        </is>
      </c>
      <c r="D185" s="15">
        <f>IF(E185&gt;='Scoring Rules'!$B$3,"强",IF(E185&gt;='Scoring Rules'!$B$4,"中","弱"))</f>
        <v/>
      </c>
      <c r="E185" s="125">
        <f>MIN(100,H185+IF(I185&gt;=5,'Scoring Rules'!$B$16,IF(I185&gt;=3,'Scoring Rules'!$B$17,IF(I185&gt;=1,'Scoring Rules'!$B$18,'Scoring Rules'!$B$19)))+IF(L185="是",'Scoring Rules'!$B$22,0)+MIN(J185*'Scoring Rules'!$B$23,'Scoring Rules'!$B$24)+IF(M185="是",'Scoring Rules'!$B$25,0)+MIN((IF(K185="",0,LEN(K185)-LEN(SUBSTITUTE(K185,";",""))+1))*'Scoring Rules'!$B$26,'Scoring Rules'!$B$27)+IF(N185="是",'Scoring Rules'!$B$28,0)+IF(O185="是",'Scoring Rules'!$B$29,0)+IF(P185="是",'Scoring Rules'!$B$30,0)+IF(Q185="是",'Scoring Rules'!$B$31,0)+IF(R185="是",'Scoring Rules'!$B$32,0)+IF(S185&gt;=8000,'Scoring Rules'!$B$35,IF(S185&gt;=4000,'Scoring Rules'!$B$36,IF(S185&gt;=2000,'Scoring Rules'!$B$37,'Scoring Rules'!$B$38))))</f>
        <v/>
      </c>
      <c r="F185" s="15" t="inlineStr">
        <is>
          <t>Standard</t>
        </is>
      </c>
      <c r="G185" s="15" t="inlineStr">
        <is>
          <t>Master</t>
        </is>
      </c>
      <c r="H185" s="15" t="n">
        <v>16</v>
      </c>
      <c r="I185" s="15" t="n">
        <v>3</v>
      </c>
      <c r="J185" s="15" t="n">
        <v>19</v>
      </c>
      <c r="K185" s="15" t="str"/>
      <c r="L185" s="15" t="inlineStr">
        <is>
          <t>是</t>
        </is>
      </c>
      <c r="M185" s="15" t="str"/>
      <c r="N185" s="15" t="str"/>
      <c r="O185" s="15" t="str"/>
      <c r="P185" s="15" t="inlineStr">
        <is>
          <t>是</t>
        </is>
      </c>
      <c r="Q185" s="15" t="str"/>
      <c r="R185" s="15" t="inlineStr">
        <is>
          <t>是</t>
        </is>
      </c>
      <c r="S185" s="15" t="n">
        <v>2608</v>
      </c>
      <c r="T185" s="15" t="inlineStr">
        <is>
          <t>Frontend; Backend/API; Mobile; Data/Database; Cloud/DevOps; Embedded/Systems; Testing/Automation</t>
        </is>
      </c>
      <c r="U185" s="15" t="inlineStr">
        <is>
          <t>Finance/Banking; Technology; Education/Research</t>
        </is>
      </c>
      <c r="V185" s="15" t="inlineStr">
        <is>
          <t>C:\Workspace\java\scrape_indeed\soft_dav_part_1\2695.html#22667</t>
        </is>
      </c>
    </row>
    <row r="186">
      <c r="A186" s="2">
        <f>IF(COUNTIF('Sample 20'!$B$2:$B$21,B186)&gt;0,"是","")</f>
        <v/>
      </c>
      <c r="B186" s="2" t="inlineStr">
        <is>
          <t>22307</t>
        </is>
      </c>
      <c r="C186" s="15" t="inlineStr">
        <is>
          <t>Software Developer</t>
        </is>
      </c>
      <c r="D186" s="15">
        <f>IF(E186&gt;='Scoring Rules'!$B$3,"强",IF(E186&gt;='Scoring Rules'!$B$4,"中","弱"))</f>
        <v/>
      </c>
      <c r="E186" s="125">
        <f>MIN(100,H186+IF(I186&gt;=5,'Scoring Rules'!$B$16,IF(I186&gt;=3,'Scoring Rules'!$B$17,IF(I186&gt;=1,'Scoring Rules'!$B$18,'Scoring Rules'!$B$19)))+IF(L186="是",'Scoring Rules'!$B$22,0)+MIN(J186*'Scoring Rules'!$B$23,'Scoring Rules'!$B$24)+IF(M186="是",'Scoring Rules'!$B$25,0)+MIN((IF(K186="",0,LEN(K186)-LEN(SUBSTITUTE(K186,";",""))+1))*'Scoring Rules'!$B$26,'Scoring Rules'!$B$27)+IF(N186="是",'Scoring Rules'!$B$28,0)+IF(O186="是",'Scoring Rules'!$B$29,0)+IF(P186="是",'Scoring Rules'!$B$30,0)+IF(Q186="是",'Scoring Rules'!$B$31,0)+IF(R186="是",'Scoring Rules'!$B$32,0)+IF(S186&gt;=8000,'Scoring Rules'!$B$35,IF(S186&gt;=4000,'Scoring Rules'!$B$36,IF(S186&gt;=2000,'Scoring Rules'!$B$37,'Scoring Rules'!$B$38))))</f>
        <v/>
      </c>
      <c r="F186" s="15" t="inlineStr">
        <is>
          <t>Standard</t>
        </is>
      </c>
      <c r="G186" s="15" t="inlineStr">
        <is>
          <t>Bachelor</t>
        </is>
      </c>
      <c r="H186" s="15" t="n">
        <v>12</v>
      </c>
      <c r="I186" s="15" t="n">
        <v>1</v>
      </c>
      <c r="J186" s="15" t="n">
        <v>6</v>
      </c>
      <c r="K186" s="15" t="str"/>
      <c r="L186" s="15" t="inlineStr">
        <is>
          <t>是</t>
        </is>
      </c>
      <c r="M186" s="15" t="str"/>
      <c r="N186" s="15" t="str"/>
      <c r="O186" s="15" t="str"/>
      <c r="P186" s="15" t="str"/>
      <c r="Q186" s="15" t="str"/>
      <c r="R186" s="15" t="inlineStr">
        <is>
          <t>是</t>
        </is>
      </c>
      <c r="S186" s="15" t="n">
        <v>1405</v>
      </c>
      <c r="T186" s="15" t="inlineStr">
        <is>
          <t>Data/Database</t>
        </is>
      </c>
      <c r="U186" s="15" t="inlineStr">
        <is>
          <t>Technology; Education/Research</t>
        </is>
      </c>
      <c r="V186" s="15" t="inlineStr">
        <is>
          <t>C:\Workspace\java\scrape_indeed\soft_dav_part_1\270.html#22673</t>
        </is>
      </c>
    </row>
    <row r="187">
      <c r="A187" s="2">
        <f>IF(COUNTIF('Sample 20'!$B$2:$B$21,B187)&gt;0,"是","")</f>
        <v/>
      </c>
      <c r="B187" s="2" t="inlineStr">
        <is>
          <t>22310</t>
        </is>
      </c>
      <c r="C187" s="15" t="inlineStr">
        <is>
          <t>Software Developer</t>
        </is>
      </c>
      <c r="D187" s="15">
        <f>IF(E187&gt;='Scoring Rules'!$B$3,"强",IF(E187&gt;='Scoring Rules'!$B$4,"中","弱"))</f>
        <v/>
      </c>
      <c r="E187" s="125">
        <f>MIN(100,H187+IF(I187&gt;=5,'Scoring Rules'!$B$16,IF(I187&gt;=3,'Scoring Rules'!$B$17,IF(I187&gt;=1,'Scoring Rules'!$B$18,'Scoring Rules'!$B$19)))+IF(L187="是",'Scoring Rules'!$B$22,0)+MIN(J187*'Scoring Rules'!$B$23,'Scoring Rules'!$B$24)+IF(M187="是",'Scoring Rules'!$B$25,0)+MIN((IF(K187="",0,LEN(K187)-LEN(SUBSTITUTE(K187,";",""))+1))*'Scoring Rules'!$B$26,'Scoring Rules'!$B$27)+IF(N187="是",'Scoring Rules'!$B$28,0)+IF(O187="是",'Scoring Rules'!$B$29,0)+IF(P187="是",'Scoring Rules'!$B$30,0)+IF(Q187="是",'Scoring Rules'!$B$31,0)+IF(R187="是",'Scoring Rules'!$B$32,0)+IF(S187&gt;=8000,'Scoring Rules'!$B$35,IF(S187&gt;=4000,'Scoring Rules'!$B$36,IF(S187&gt;=2000,'Scoring Rules'!$B$37,'Scoring Rules'!$B$38))))</f>
        <v/>
      </c>
      <c r="F187" s="15" t="inlineStr">
        <is>
          <t>Standard</t>
        </is>
      </c>
      <c r="G187" s="15" t="inlineStr">
        <is>
          <t>Unspecified</t>
        </is>
      </c>
      <c r="H187" s="15" t="n">
        <v>2</v>
      </c>
      <c r="I187" s="15" t="n">
        <v>1</v>
      </c>
      <c r="J187" s="15" t="n">
        <v>8</v>
      </c>
      <c r="K187" s="15" t="str"/>
      <c r="L187" s="15" t="inlineStr">
        <is>
          <t>是</t>
        </is>
      </c>
      <c r="M187" s="15" t="str"/>
      <c r="N187" s="15" t="str"/>
      <c r="O187" s="15" t="str"/>
      <c r="P187" s="15" t="inlineStr">
        <is>
          <t>是</t>
        </is>
      </c>
      <c r="Q187" s="15" t="str"/>
      <c r="R187" s="15" t="str"/>
      <c r="S187" s="15" t="n">
        <v>1359</v>
      </c>
      <c r="T187" s="15" t="inlineStr">
        <is>
          <t>Frontend; Backend/API; Data/Database; Embedded/Systems</t>
        </is>
      </c>
      <c r="U187" s="15" t="inlineStr">
        <is>
          <t>Technology; Education/Research</t>
        </is>
      </c>
      <c r="V187" s="15" t="inlineStr">
        <is>
          <t>C:\Workspace\java\scrape_indeed\soft_dav_part_1\2702.html#22676</t>
        </is>
      </c>
    </row>
    <row r="188">
      <c r="A188" s="2">
        <f>IF(COUNTIF('Sample 20'!$B$2:$B$21,B188)&gt;0,"是","")</f>
        <v/>
      </c>
      <c r="B188" s="2" t="inlineStr">
        <is>
          <t>22311</t>
        </is>
      </c>
      <c r="C188" s="15" t="inlineStr">
        <is>
          <t>Software Developer</t>
        </is>
      </c>
      <c r="D188" s="15">
        <f>IF(E188&gt;='Scoring Rules'!$B$3,"强",IF(E188&gt;='Scoring Rules'!$B$4,"中","弱"))</f>
        <v/>
      </c>
      <c r="E188" s="125">
        <f>MIN(100,H188+IF(I188&gt;=5,'Scoring Rules'!$B$16,IF(I188&gt;=3,'Scoring Rules'!$B$17,IF(I188&gt;=1,'Scoring Rules'!$B$18,'Scoring Rules'!$B$19)))+IF(L188="是",'Scoring Rules'!$B$22,0)+MIN(J188*'Scoring Rules'!$B$23,'Scoring Rules'!$B$24)+IF(M188="是",'Scoring Rules'!$B$25,0)+MIN((IF(K188="",0,LEN(K188)-LEN(SUBSTITUTE(K188,";",""))+1))*'Scoring Rules'!$B$26,'Scoring Rules'!$B$27)+IF(N188="是",'Scoring Rules'!$B$28,0)+IF(O188="是",'Scoring Rules'!$B$29,0)+IF(P188="是",'Scoring Rules'!$B$30,0)+IF(Q188="是",'Scoring Rules'!$B$31,0)+IF(R188="是",'Scoring Rules'!$B$32,0)+IF(S188&gt;=8000,'Scoring Rules'!$B$35,IF(S188&gt;=4000,'Scoring Rules'!$B$36,IF(S188&gt;=2000,'Scoring Rules'!$B$37,'Scoring Rules'!$B$38))))</f>
        <v/>
      </c>
      <c r="F188" s="15" t="inlineStr">
        <is>
          <t>Standard</t>
        </is>
      </c>
      <c r="G188" s="15" t="inlineStr">
        <is>
          <t>Master</t>
        </is>
      </c>
      <c r="H188" s="15" t="n">
        <v>16</v>
      </c>
      <c r="I188" s="15" t="n">
        <v>4</v>
      </c>
      <c r="J188" s="15" t="n">
        <v>19</v>
      </c>
      <c r="K188" s="15" t="str"/>
      <c r="L188" s="15" t="inlineStr">
        <is>
          <t>是</t>
        </is>
      </c>
      <c r="M188" s="15" t="str"/>
      <c r="N188" s="15" t="str"/>
      <c r="O188" s="15" t="inlineStr">
        <is>
          <t>是</t>
        </is>
      </c>
      <c r="P188" s="15" t="inlineStr">
        <is>
          <t>是</t>
        </is>
      </c>
      <c r="Q188" s="15" t="inlineStr">
        <is>
          <t>是</t>
        </is>
      </c>
      <c r="R188" s="15" t="inlineStr">
        <is>
          <t>是</t>
        </is>
      </c>
      <c r="S188" s="15" t="n">
        <v>2876</v>
      </c>
      <c r="T188" s="15" t="inlineStr">
        <is>
          <t>Frontend; Backend/API; Data/Database; Cloud/DevOps</t>
        </is>
      </c>
      <c r="U188" s="15" t="inlineStr">
        <is>
          <t>Technology; Education/Research</t>
        </is>
      </c>
      <c r="V188" s="15" t="inlineStr">
        <is>
          <t>C:\Workspace\java\scrape_indeed\soft_dav_part_1\2703.html#22677</t>
        </is>
      </c>
    </row>
    <row r="189">
      <c r="A189" s="2">
        <f>IF(COUNTIF('Sample 20'!$B$2:$B$21,B189)&gt;0,"是","")</f>
        <v/>
      </c>
      <c r="B189" s="2" t="inlineStr">
        <is>
          <t>22316</t>
        </is>
      </c>
      <c r="C189" s="15" t="inlineStr">
        <is>
          <t>SOFTWARE DEVELOPER</t>
        </is>
      </c>
      <c r="D189" s="15">
        <f>IF(E189&gt;='Scoring Rules'!$B$3,"强",IF(E189&gt;='Scoring Rules'!$B$4,"中","弱"))</f>
        <v/>
      </c>
      <c r="E189" s="125">
        <f>MIN(100,H189+IF(I189&gt;=5,'Scoring Rules'!$B$16,IF(I189&gt;=3,'Scoring Rules'!$B$17,IF(I189&gt;=1,'Scoring Rules'!$B$18,'Scoring Rules'!$B$19)))+IF(L189="是",'Scoring Rules'!$B$22,0)+MIN(J189*'Scoring Rules'!$B$23,'Scoring Rules'!$B$24)+IF(M189="是",'Scoring Rules'!$B$25,0)+MIN((IF(K189="",0,LEN(K189)-LEN(SUBSTITUTE(K189,";",""))+1))*'Scoring Rules'!$B$26,'Scoring Rules'!$B$27)+IF(N189="是",'Scoring Rules'!$B$28,0)+IF(O189="是",'Scoring Rules'!$B$29,0)+IF(P189="是",'Scoring Rules'!$B$30,0)+IF(Q189="是",'Scoring Rules'!$B$31,0)+IF(R189="是",'Scoring Rules'!$B$32,0)+IF(S189&gt;=8000,'Scoring Rules'!$B$35,IF(S189&gt;=4000,'Scoring Rules'!$B$36,IF(S189&gt;=2000,'Scoring Rules'!$B$37,'Scoring Rules'!$B$38))))</f>
        <v/>
      </c>
      <c r="F189" s="15" t="inlineStr">
        <is>
          <t>Standard</t>
        </is>
      </c>
      <c r="G189" s="15" t="inlineStr">
        <is>
          <t>Bachelor</t>
        </is>
      </c>
      <c r="H189" s="15" t="n">
        <v>12</v>
      </c>
      <c r="I189" s="15" t="n">
        <v>3</v>
      </c>
      <c r="J189" s="15" t="n">
        <v>14</v>
      </c>
      <c r="K189" s="15" t="str"/>
      <c r="L189" s="15" t="inlineStr">
        <is>
          <t>是</t>
        </is>
      </c>
      <c r="M189" s="15" t="str"/>
      <c r="N189" s="15" t="str"/>
      <c r="O189" s="15" t="str"/>
      <c r="P189" s="15" t="str"/>
      <c r="Q189" s="15" t="inlineStr">
        <is>
          <t>是</t>
        </is>
      </c>
      <c r="R189" s="15" t="inlineStr">
        <is>
          <t>是</t>
        </is>
      </c>
      <c r="S189" s="15" t="n">
        <v>3691</v>
      </c>
      <c r="T189" s="15" t="inlineStr">
        <is>
          <t>Frontend; Backend/API; Mobile; Data/Database; Cloud/DevOps</t>
        </is>
      </c>
      <c r="U189" s="15" t="inlineStr">
        <is>
          <t>Healthcare; Technology; Education/Research</t>
        </is>
      </c>
      <c r="V189" s="15" t="inlineStr">
        <is>
          <t>C:\Workspace\java\scrape_indeed\soft_dav_part_1\2708.html#22682</t>
        </is>
      </c>
    </row>
    <row r="190">
      <c r="A190" s="2">
        <f>IF(COUNTIF('Sample 20'!$B$2:$B$21,B190)&gt;0,"是","")</f>
        <v/>
      </c>
      <c r="B190" s="2" t="inlineStr">
        <is>
          <t>22317</t>
        </is>
      </c>
      <c r="C190" s="15" t="inlineStr">
        <is>
          <t>Software Developer</t>
        </is>
      </c>
      <c r="D190" s="15">
        <f>IF(E190&gt;='Scoring Rules'!$B$3,"强",IF(E190&gt;='Scoring Rules'!$B$4,"中","弱"))</f>
        <v/>
      </c>
      <c r="E190" s="125">
        <f>MIN(100,H190+IF(I190&gt;=5,'Scoring Rules'!$B$16,IF(I190&gt;=3,'Scoring Rules'!$B$17,IF(I190&gt;=1,'Scoring Rules'!$B$18,'Scoring Rules'!$B$19)))+IF(L190="是",'Scoring Rules'!$B$22,0)+MIN(J190*'Scoring Rules'!$B$23,'Scoring Rules'!$B$24)+IF(M190="是",'Scoring Rules'!$B$25,0)+MIN((IF(K190="",0,LEN(K190)-LEN(SUBSTITUTE(K190,";",""))+1))*'Scoring Rules'!$B$26,'Scoring Rules'!$B$27)+IF(N190="是",'Scoring Rules'!$B$28,0)+IF(O190="是",'Scoring Rules'!$B$29,0)+IF(P190="是",'Scoring Rules'!$B$30,0)+IF(Q190="是",'Scoring Rules'!$B$31,0)+IF(R190="是",'Scoring Rules'!$B$32,0)+IF(S190&gt;=8000,'Scoring Rules'!$B$35,IF(S190&gt;=4000,'Scoring Rules'!$B$36,IF(S190&gt;=2000,'Scoring Rules'!$B$37,'Scoring Rules'!$B$38))))</f>
        <v/>
      </c>
      <c r="F190" s="15" t="inlineStr">
        <is>
          <t>Standard</t>
        </is>
      </c>
      <c r="G190" s="15" t="inlineStr">
        <is>
          <t>Bachelor</t>
        </is>
      </c>
      <c r="H190" s="15" t="n">
        <v>12</v>
      </c>
      <c r="I190" s="15" t="n">
        <v>2</v>
      </c>
      <c r="J190" s="15" t="n">
        <v>14</v>
      </c>
      <c r="K190" s="15" t="str"/>
      <c r="L190" s="15" t="inlineStr">
        <is>
          <t>是</t>
        </is>
      </c>
      <c r="M190" s="15" t="str"/>
      <c r="N190" s="15" t="str"/>
      <c r="O190" s="15" t="inlineStr">
        <is>
          <t>是</t>
        </is>
      </c>
      <c r="P190" s="15" t="inlineStr">
        <is>
          <t>是</t>
        </is>
      </c>
      <c r="Q190" s="15" t="str"/>
      <c r="R190" s="15" t="inlineStr">
        <is>
          <t>是</t>
        </is>
      </c>
      <c r="S190" s="15" t="n">
        <v>1807</v>
      </c>
      <c r="T190" s="15" t="inlineStr">
        <is>
          <t>Frontend; Backend/API; Mobile; Data/Database; Testing/Automation</t>
        </is>
      </c>
      <c r="U190" s="15" t="inlineStr">
        <is>
          <t>Healthcare; Technology; Education/Research</t>
        </is>
      </c>
      <c r="V190" s="15" t="inlineStr">
        <is>
          <t>C:\Workspace\java\scrape_indeed\soft_dav_part_1\2709.html#22683</t>
        </is>
      </c>
    </row>
    <row r="191">
      <c r="A191" s="2">
        <f>IF(COUNTIF('Sample 20'!$B$2:$B$21,B191)&gt;0,"是","")</f>
        <v/>
      </c>
      <c r="B191" s="2" t="inlineStr">
        <is>
          <t>22322</t>
        </is>
      </c>
      <c r="C191" s="15" t="inlineStr">
        <is>
          <t>Software Developer</t>
        </is>
      </c>
      <c r="D191" s="15">
        <f>IF(E191&gt;='Scoring Rules'!$B$3,"强",IF(E191&gt;='Scoring Rules'!$B$4,"中","弱"))</f>
        <v/>
      </c>
      <c r="E191" s="125">
        <f>MIN(100,H191+IF(I191&gt;=5,'Scoring Rules'!$B$16,IF(I191&gt;=3,'Scoring Rules'!$B$17,IF(I191&gt;=1,'Scoring Rules'!$B$18,'Scoring Rules'!$B$19)))+IF(L191="是",'Scoring Rules'!$B$22,0)+MIN(J191*'Scoring Rules'!$B$23,'Scoring Rules'!$B$24)+IF(M191="是",'Scoring Rules'!$B$25,0)+MIN((IF(K191="",0,LEN(K191)-LEN(SUBSTITUTE(K191,";",""))+1))*'Scoring Rules'!$B$26,'Scoring Rules'!$B$27)+IF(N191="是",'Scoring Rules'!$B$28,0)+IF(O191="是",'Scoring Rules'!$B$29,0)+IF(P191="是",'Scoring Rules'!$B$30,0)+IF(Q191="是",'Scoring Rules'!$B$31,0)+IF(R191="是",'Scoring Rules'!$B$32,0)+IF(S191&gt;=8000,'Scoring Rules'!$B$35,IF(S191&gt;=4000,'Scoring Rules'!$B$36,IF(S191&gt;=2000,'Scoring Rules'!$B$37,'Scoring Rules'!$B$38))))</f>
        <v/>
      </c>
      <c r="F191" s="15" t="inlineStr">
        <is>
          <t>Standard</t>
        </is>
      </c>
      <c r="G191" s="15" t="inlineStr">
        <is>
          <t>Bachelor</t>
        </is>
      </c>
      <c r="H191" s="15" t="n">
        <v>12</v>
      </c>
      <c r="I191" s="15" t="n">
        <v>2</v>
      </c>
      <c r="J191" s="15" t="n">
        <v>16</v>
      </c>
      <c r="K191" s="15" t="str"/>
      <c r="L191" s="15" t="inlineStr">
        <is>
          <t>是</t>
        </is>
      </c>
      <c r="M191" s="15" t="str"/>
      <c r="N191" s="15" t="str"/>
      <c r="O191" s="15" t="str"/>
      <c r="P191" s="15" t="str"/>
      <c r="Q191" s="15" t="str"/>
      <c r="R191" s="15" t="str"/>
      <c r="S191" s="15" t="n">
        <v>1802</v>
      </c>
      <c r="T191" s="15" t="inlineStr">
        <is>
          <t>Frontend; Backend/API; Data/Database; Cloud/DevOps</t>
        </is>
      </c>
      <c r="U191" s="15" t="inlineStr">
        <is>
          <t>Technology; Education/Research</t>
        </is>
      </c>
      <c r="V191" s="15" t="inlineStr">
        <is>
          <t>C:\Workspace\java\scrape_indeed\soft_dav_part_1\2713.html#22688</t>
        </is>
      </c>
    </row>
    <row r="192">
      <c r="A192" s="2">
        <f>IF(COUNTIF('Sample 20'!$B$2:$B$21,B192)&gt;0,"是","")</f>
        <v/>
      </c>
      <c r="B192" s="2" t="inlineStr">
        <is>
          <t>22323</t>
        </is>
      </c>
      <c r="C192" s="15" t="inlineStr">
        <is>
          <t>Software Developer</t>
        </is>
      </c>
      <c r="D192" s="15">
        <f>IF(E192&gt;='Scoring Rules'!$B$3,"强",IF(E192&gt;='Scoring Rules'!$B$4,"中","弱"))</f>
        <v/>
      </c>
      <c r="E192" s="125">
        <f>MIN(100,H192+IF(I192&gt;=5,'Scoring Rules'!$B$16,IF(I192&gt;=3,'Scoring Rules'!$B$17,IF(I192&gt;=1,'Scoring Rules'!$B$18,'Scoring Rules'!$B$19)))+IF(L192="是",'Scoring Rules'!$B$22,0)+MIN(J192*'Scoring Rules'!$B$23,'Scoring Rules'!$B$24)+IF(M192="是",'Scoring Rules'!$B$25,0)+MIN((IF(K192="",0,LEN(K192)-LEN(SUBSTITUTE(K192,";",""))+1))*'Scoring Rules'!$B$26,'Scoring Rules'!$B$27)+IF(N192="是",'Scoring Rules'!$B$28,0)+IF(O192="是",'Scoring Rules'!$B$29,0)+IF(P192="是",'Scoring Rules'!$B$30,0)+IF(Q192="是",'Scoring Rules'!$B$31,0)+IF(R192="是",'Scoring Rules'!$B$32,0)+IF(S192&gt;=8000,'Scoring Rules'!$B$35,IF(S192&gt;=4000,'Scoring Rules'!$B$36,IF(S192&gt;=2000,'Scoring Rules'!$B$37,'Scoring Rules'!$B$38))))</f>
        <v/>
      </c>
      <c r="F192" s="15" t="inlineStr">
        <is>
          <t>Standard</t>
        </is>
      </c>
      <c r="G192" s="15" t="inlineStr">
        <is>
          <t>Associate</t>
        </is>
      </c>
      <c r="H192" s="15" t="n">
        <v>8</v>
      </c>
      <c r="I192" s="15" t="n">
        <v>2</v>
      </c>
      <c r="J192" s="15" t="n">
        <v>9</v>
      </c>
      <c r="K192" s="15" t="str"/>
      <c r="L192" s="15" t="inlineStr">
        <is>
          <t>是</t>
        </is>
      </c>
      <c r="M192" s="15" t="str"/>
      <c r="N192" s="15" t="str"/>
      <c r="O192" s="15" t="str"/>
      <c r="P192" s="15" t="str"/>
      <c r="Q192" s="15" t="str"/>
      <c r="R192" s="15" t="str"/>
      <c r="S192" s="15" t="n">
        <v>1446</v>
      </c>
      <c r="T192" s="15" t="inlineStr">
        <is>
          <t>Frontend; Backend/API; Data/Database</t>
        </is>
      </c>
      <c r="U192" s="15" t="inlineStr">
        <is>
          <t>Technology; Education/Research</t>
        </is>
      </c>
      <c r="V192" s="15" t="inlineStr">
        <is>
          <t>C:\Workspace\java\scrape_indeed\soft_dav_part_1\2714.html#22689</t>
        </is>
      </c>
    </row>
    <row r="193">
      <c r="A193" s="2">
        <f>IF(COUNTIF('Sample 20'!$B$2:$B$21,B193)&gt;0,"是","")</f>
        <v/>
      </c>
      <c r="B193" s="2" t="inlineStr">
        <is>
          <t>22330</t>
        </is>
      </c>
      <c r="C193" s="15" t="inlineStr">
        <is>
          <t>Software Developer</t>
        </is>
      </c>
      <c r="D193" s="15">
        <f>IF(E193&gt;='Scoring Rules'!$B$3,"强",IF(E193&gt;='Scoring Rules'!$B$4,"中","弱"))</f>
        <v/>
      </c>
      <c r="E193" s="125">
        <f>MIN(100,H193+IF(I193&gt;=5,'Scoring Rules'!$B$16,IF(I193&gt;=3,'Scoring Rules'!$B$17,IF(I193&gt;=1,'Scoring Rules'!$B$18,'Scoring Rules'!$B$19)))+IF(L193="是",'Scoring Rules'!$B$22,0)+MIN(J193*'Scoring Rules'!$B$23,'Scoring Rules'!$B$24)+IF(M193="是",'Scoring Rules'!$B$25,0)+MIN((IF(K193="",0,LEN(K193)-LEN(SUBSTITUTE(K193,";",""))+1))*'Scoring Rules'!$B$26,'Scoring Rules'!$B$27)+IF(N193="是",'Scoring Rules'!$B$28,0)+IF(O193="是",'Scoring Rules'!$B$29,0)+IF(P193="是",'Scoring Rules'!$B$30,0)+IF(Q193="是",'Scoring Rules'!$B$31,0)+IF(R193="是",'Scoring Rules'!$B$32,0)+IF(S193&gt;=8000,'Scoring Rules'!$B$35,IF(S193&gt;=4000,'Scoring Rules'!$B$36,IF(S193&gt;=2000,'Scoring Rules'!$B$37,'Scoring Rules'!$B$38))))</f>
        <v/>
      </c>
      <c r="F193" s="15" t="inlineStr">
        <is>
          <t>Standard</t>
        </is>
      </c>
      <c r="G193" s="15" t="inlineStr">
        <is>
          <t>Bachelor</t>
        </is>
      </c>
      <c r="H193" s="15" t="n">
        <v>12</v>
      </c>
      <c r="I193" s="15" t="n">
        <v>3</v>
      </c>
      <c r="J193" s="15" t="n">
        <v>4</v>
      </c>
      <c r="K193" s="15" t="str"/>
      <c r="L193" s="15" t="inlineStr">
        <is>
          <t>是</t>
        </is>
      </c>
      <c r="M193" s="15" t="str"/>
      <c r="N193" s="15" t="str"/>
      <c r="O193" s="15" t="str"/>
      <c r="P193" s="15" t="str"/>
      <c r="Q193" s="15" t="inlineStr">
        <is>
          <t>是</t>
        </is>
      </c>
      <c r="R193" s="15" t="inlineStr">
        <is>
          <t>是</t>
        </is>
      </c>
      <c r="S193" s="15" t="n">
        <v>4418</v>
      </c>
      <c r="T193" s="15" t="inlineStr">
        <is>
          <t>Backend/API; Data/Database; Testing/Automation</t>
        </is>
      </c>
      <c r="U193" s="15" t="inlineStr">
        <is>
          <t>Government/Defense; Technology; Education/Research</t>
        </is>
      </c>
      <c r="V193" s="15" t="inlineStr">
        <is>
          <t>C:\Workspace\java\scrape_indeed\soft_dav_part_1\2720.html#22696</t>
        </is>
      </c>
    </row>
    <row r="194">
      <c r="A194" s="2">
        <f>IF(COUNTIF('Sample 20'!$B$2:$B$21,B194)&gt;0,"是","")</f>
        <v/>
      </c>
      <c r="B194" s="2" t="inlineStr">
        <is>
          <t>22331</t>
        </is>
      </c>
      <c r="C194" s="15" t="inlineStr">
        <is>
          <t>Software Developer</t>
        </is>
      </c>
      <c r="D194" s="15">
        <f>IF(E194&gt;='Scoring Rules'!$B$3,"强",IF(E194&gt;='Scoring Rules'!$B$4,"中","弱"))</f>
        <v/>
      </c>
      <c r="E194" s="125">
        <f>MIN(100,H194+IF(I194&gt;=5,'Scoring Rules'!$B$16,IF(I194&gt;=3,'Scoring Rules'!$B$17,IF(I194&gt;=1,'Scoring Rules'!$B$18,'Scoring Rules'!$B$19)))+IF(L194="是",'Scoring Rules'!$B$22,0)+MIN(J194*'Scoring Rules'!$B$23,'Scoring Rules'!$B$24)+IF(M194="是",'Scoring Rules'!$B$25,0)+MIN((IF(K194="",0,LEN(K194)-LEN(SUBSTITUTE(K194,";",""))+1))*'Scoring Rules'!$B$26,'Scoring Rules'!$B$27)+IF(N194="是",'Scoring Rules'!$B$28,0)+IF(O194="是",'Scoring Rules'!$B$29,0)+IF(P194="是",'Scoring Rules'!$B$30,0)+IF(Q194="是",'Scoring Rules'!$B$31,0)+IF(R194="是",'Scoring Rules'!$B$32,0)+IF(S194&gt;=8000,'Scoring Rules'!$B$35,IF(S194&gt;=4000,'Scoring Rules'!$B$36,IF(S194&gt;=2000,'Scoring Rules'!$B$37,'Scoring Rules'!$B$38))))</f>
        <v/>
      </c>
      <c r="F194" s="15" t="inlineStr">
        <is>
          <t>Standard</t>
        </is>
      </c>
      <c r="G194" s="15" t="inlineStr">
        <is>
          <t>Bachelor</t>
        </is>
      </c>
      <c r="H194" s="15" t="n">
        <v>12</v>
      </c>
      <c r="I194" s="15" t="n">
        <v>3</v>
      </c>
      <c r="J194" s="15" t="n">
        <v>6</v>
      </c>
      <c r="K194" s="15" t="str"/>
      <c r="L194" s="15" t="inlineStr">
        <is>
          <t>是</t>
        </is>
      </c>
      <c r="M194" s="15" t="str"/>
      <c r="N194" s="15" t="str"/>
      <c r="O194" s="15" t="str"/>
      <c r="P194" s="15" t="str"/>
      <c r="Q194" s="15" t="inlineStr">
        <is>
          <t>是</t>
        </is>
      </c>
      <c r="R194" s="15" t="str"/>
      <c r="S194" s="15" t="n">
        <v>2761</v>
      </c>
      <c r="T194" s="15" t="inlineStr">
        <is>
          <t>Backend/API; Data/Database; Embedded/Systems</t>
        </is>
      </c>
      <c r="U194" s="15" t="inlineStr">
        <is>
          <t>Government/Defense; Technology; Telecom; Education/Research; Manufacturing/Automotive</t>
        </is>
      </c>
      <c r="V194" s="15" t="inlineStr">
        <is>
          <t>C:\Workspace\java\scrape_indeed\soft_dav_part_1\2721.html#22697</t>
        </is>
      </c>
    </row>
    <row r="195">
      <c r="A195" s="2">
        <f>IF(COUNTIF('Sample 20'!$B$2:$B$21,B195)&gt;0,"是","")</f>
        <v/>
      </c>
      <c r="B195" s="2" t="inlineStr">
        <is>
          <t>22332</t>
        </is>
      </c>
      <c r="C195" s="15" t="inlineStr">
        <is>
          <t>Software Developer</t>
        </is>
      </c>
      <c r="D195" s="15">
        <f>IF(E195&gt;='Scoring Rules'!$B$3,"强",IF(E195&gt;='Scoring Rules'!$B$4,"中","弱"))</f>
        <v/>
      </c>
      <c r="E195" s="125">
        <f>MIN(100,H195+IF(I195&gt;=5,'Scoring Rules'!$B$16,IF(I195&gt;=3,'Scoring Rules'!$B$17,IF(I195&gt;=1,'Scoring Rules'!$B$18,'Scoring Rules'!$B$19)))+IF(L195="是",'Scoring Rules'!$B$22,0)+MIN(J195*'Scoring Rules'!$B$23,'Scoring Rules'!$B$24)+IF(M195="是",'Scoring Rules'!$B$25,0)+MIN((IF(K195="",0,LEN(K195)-LEN(SUBSTITUTE(K195,";",""))+1))*'Scoring Rules'!$B$26,'Scoring Rules'!$B$27)+IF(N195="是",'Scoring Rules'!$B$28,0)+IF(O195="是",'Scoring Rules'!$B$29,0)+IF(P195="是",'Scoring Rules'!$B$30,0)+IF(Q195="是",'Scoring Rules'!$B$31,0)+IF(R195="是",'Scoring Rules'!$B$32,0)+IF(S195&gt;=8000,'Scoring Rules'!$B$35,IF(S195&gt;=4000,'Scoring Rules'!$B$36,IF(S195&gt;=2000,'Scoring Rules'!$B$37,'Scoring Rules'!$B$38))))</f>
        <v/>
      </c>
      <c r="F195" s="15" t="inlineStr">
        <is>
          <t>Standard</t>
        </is>
      </c>
      <c r="G195" s="15" t="inlineStr">
        <is>
          <t>Unspecified</t>
        </is>
      </c>
      <c r="H195" s="15" t="n">
        <v>2</v>
      </c>
      <c r="I195" s="15" t="n">
        <v>6</v>
      </c>
      <c r="J195" s="15" t="n">
        <v>9</v>
      </c>
      <c r="K195" s="15" t="str"/>
      <c r="L195" s="15" t="inlineStr">
        <is>
          <t>是</t>
        </is>
      </c>
      <c r="M195" s="15" t="str"/>
      <c r="N195" s="15" t="str"/>
      <c r="O195" s="15" t="str"/>
      <c r="P195" s="15" t="str"/>
      <c r="Q195" s="15" t="inlineStr">
        <is>
          <t>是</t>
        </is>
      </c>
      <c r="R195" s="15" t="str"/>
      <c r="S195" s="15" t="n">
        <v>3268</v>
      </c>
      <c r="T195" s="15" t="inlineStr">
        <is>
          <t>Frontend; Backend/API; Data/Database</t>
        </is>
      </c>
      <c r="U195" s="15" t="inlineStr">
        <is>
          <t>Healthcare; Technology</t>
        </is>
      </c>
      <c r="V195" s="15" t="inlineStr">
        <is>
          <t>C:\Workspace\java\scrape_indeed\soft_dav_part_1\2722.html#22698</t>
        </is>
      </c>
    </row>
    <row r="196">
      <c r="A196" s="2">
        <f>IF(COUNTIF('Sample 20'!$B$2:$B$21,B196)&gt;0,"是","")</f>
        <v/>
      </c>
      <c r="B196" s="2" t="inlineStr">
        <is>
          <t>22334</t>
        </is>
      </c>
      <c r="C196" s="15" t="inlineStr">
        <is>
          <t>Software Developer</t>
        </is>
      </c>
      <c r="D196" s="15">
        <f>IF(E196&gt;='Scoring Rules'!$B$3,"强",IF(E196&gt;='Scoring Rules'!$B$4,"中","弱"))</f>
        <v/>
      </c>
      <c r="E196" s="125">
        <f>MIN(100,H196+IF(I196&gt;=5,'Scoring Rules'!$B$16,IF(I196&gt;=3,'Scoring Rules'!$B$17,IF(I196&gt;=1,'Scoring Rules'!$B$18,'Scoring Rules'!$B$19)))+IF(L196="是",'Scoring Rules'!$B$22,0)+MIN(J196*'Scoring Rules'!$B$23,'Scoring Rules'!$B$24)+IF(M196="是",'Scoring Rules'!$B$25,0)+MIN((IF(K196="",0,LEN(K196)-LEN(SUBSTITUTE(K196,";",""))+1))*'Scoring Rules'!$B$26,'Scoring Rules'!$B$27)+IF(N196="是",'Scoring Rules'!$B$28,0)+IF(O196="是",'Scoring Rules'!$B$29,0)+IF(P196="是",'Scoring Rules'!$B$30,0)+IF(Q196="是",'Scoring Rules'!$B$31,0)+IF(R196="是",'Scoring Rules'!$B$32,0)+IF(S196&gt;=8000,'Scoring Rules'!$B$35,IF(S196&gt;=4000,'Scoring Rules'!$B$36,IF(S196&gt;=2000,'Scoring Rules'!$B$37,'Scoring Rules'!$B$38))))</f>
        <v/>
      </c>
      <c r="F196" s="15" t="inlineStr">
        <is>
          <t>Standard</t>
        </is>
      </c>
      <c r="G196" s="15" t="inlineStr">
        <is>
          <t>Master</t>
        </is>
      </c>
      <c r="H196" s="15" t="n">
        <v>16</v>
      </c>
      <c r="I196" s="15" t="n">
        <v>2</v>
      </c>
      <c r="J196" s="15" t="n">
        <v>14</v>
      </c>
      <c r="K196" s="15" t="str"/>
      <c r="L196" s="15" t="inlineStr">
        <is>
          <t>是</t>
        </is>
      </c>
      <c r="M196" s="15" t="str"/>
      <c r="N196" s="15" t="str"/>
      <c r="O196" s="15" t="str"/>
      <c r="P196" s="15" t="inlineStr">
        <is>
          <t>是</t>
        </is>
      </c>
      <c r="Q196" s="15" t="str"/>
      <c r="R196" s="15" t="str"/>
      <c r="S196" s="15" t="n">
        <v>1661</v>
      </c>
      <c r="T196" s="15" t="inlineStr">
        <is>
          <t>Frontend; Backend/API; Mobile; Data/Database</t>
        </is>
      </c>
      <c r="U196" s="15" t="inlineStr">
        <is>
          <t>Technology; Education/Research</t>
        </is>
      </c>
      <c r="V196" s="15" t="inlineStr">
        <is>
          <t>C:\Workspace\java\scrape_indeed\soft_dav_part_1\2724.html#22700</t>
        </is>
      </c>
    </row>
    <row r="197">
      <c r="A197" s="2">
        <f>IF(COUNTIF('Sample 20'!$B$2:$B$21,B197)&gt;0,"是","")</f>
        <v/>
      </c>
      <c r="B197" s="2" t="inlineStr">
        <is>
          <t>22335</t>
        </is>
      </c>
      <c r="C197" s="15" t="inlineStr">
        <is>
          <t>Software Developer</t>
        </is>
      </c>
      <c r="D197" s="15">
        <f>IF(E197&gt;='Scoring Rules'!$B$3,"强",IF(E197&gt;='Scoring Rules'!$B$4,"中","弱"))</f>
        <v/>
      </c>
      <c r="E197" s="125">
        <f>MIN(100,H197+IF(I197&gt;=5,'Scoring Rules'!$B$16,IF(I197&gt;=3,'Scoring Rules'!$B$17,IF(I197&gt;=1,'Scoring Rules'!$B$18,'Scoring Rules'!$B$19)))+IF(L197="是",'Scoring Rules'!$B$22,0)+MIN(J197*'Scoring Rules'!$B$23,'Scoring Rules'!$B$24)+IF(M197="是",'Scoring Rules'!$B$25,0)+MIN((IF(K197="",0,LEN(K197)-LEN(SUBSTITUTE(K197,";",""))+1))*'Scoring Rules'!$B$26,'Scoring Rules'!$B$27)+IF(N197="是",'Scoring Rules'!$B$28,0)+IF(O197="是",'Scoring Rules'!$B$29,0)+IF(P197="是",'Scoring Rules'!$B$30,0)+IF(Q197="是",'Scoring Rules'!$B$31,0)+IF(R197="是",'Scoring Rules'!$B$32,0)+IF(S197&gt;=8000,'Scoring Rules'!$B$35,IF(S197&gt;=4000,'Scoring Rules'!$B$36,IF(S197&gt;=2000,'Scoring Rules'!$B$37,'Scoring Rules'!$B$38))))</f>
        <v/>
      </c>
      <c r="F197" s="15" t="inlineStr">
        <is>
          <t>Standard</t>
        </is>
      </c>
      <c r="G197" s="15" t="inlineStr">
        <is>
          <t>Master</t>
        </is>
      </c>
      <c r="H197" s="15" t="n">
        <v>16</v>
      </c>
      <c r="I197" s="15" t="n">
        <v>3</v>
      </c>
      <c r="J197" s="15" t="n">
        <v>7</v>
      </c>
      <c r="K197" s="15" t="str"/>
      <c r="L197" s="15" t="inlineStr">
        <is>
          <t>是</t>
        </is>
      </c>
      <c r="M197" s="15" t="str"/>
      <c r="N197" s="15" t="inlineStr">
        <is>
          <t>是</t>
        </is>
      </c>
      <c r="O197" s="15" t="inlineStr">
        <is>
          <t>是</t>
        </is>
      </c>
      <c r="P197" s="15" t="inlineStr">
        <is>
          <t>是</t>
        </is>
      </c>
      <c r="Q197" s="15" t="str"/>
      <c r="R197" s="15" t="str"/>
      <c r="S197" s="15" t="n">
        <v>4813</v>
      </c>
      <c r="T197" s="15" t="inlineStr">
        <is>
          <t>Backend/API; Embedded/Systems</t>
        </is>
      </c>
      <c r="U197" s="15" t="inlineStr">
        <is>
          <t>Finance/Banking; Technology; Education/Research</t>
        </is>
      </c>
      <c r="V197" s="15" t="inlineStr">
        <is>
          <t>C:\Workspace\java\scrape_indeed\soft_dav_part_1\2725.html#22701</t>
        </is>
      </c>
    </row>
    <row r="198">
      <c r="A198" s="2">
        <f>IF(COUNTIF('Sample 20'!$B$2:$B$21,B198)&gt;0,"是","")</f>
        <v/>
      </c>
      <c r="B198" s="2" t="inlineStr">
        <is>
          <t>22341</t>
        </is>
      </c>
      <c r="C198" s="15" t="inlineStr">
        <is>
          <t>Software Developer</t>
        </is>
      </c>
      <c r="D198" s="15">
        <f>IF(E198&gt;='Scoring Rules'!$B$3,"强",IF(E198&gt;='Scoring Rules'!$B$4,"中","弱"))</f>
        <v/>
      </c>
      <c r="E198" s="125">
        <f>MIN(100,H198+IF(I198&gt;=5,'Scoring Rules'!$B$16,IF(I198&gt;=3,'Scoring Rules'!$B$17,IF(I198&gt;=1,'Scoring Rules'!$B$18,'Scoring Rules'!$B$19)))+IF(L198="是",'Scoring Rules'!$B$22,0)+MIN(J198*'Scoring Rules'!$B$23,'Scoring Rules'!$B$24)+IF(M198="是",'Scoring Rules'!$B$25,0)+MIN((IF(K198="",0,LEN(K198)-LEN(SUBSTITUTE(K198,";",""))+1))*'Scoring Rules'!$B$26,'Scoring Rules'!$B$27)+IF(N198="是",'Scoring Rules'!$B$28,0)+IF(O198="是",'Scoring Rules'!$B$29,0)+IF(P198="是",'Scoring Rules'!$B$30,0)+IF(Q198="是",'Scoring Rules'!$B$31,0)+IF(R198="是",'Scoring Rules'!$B$32,0)+IF(S198&gt;=8000,'Scoring Rules'!$B$35,IF(S198&gt;=4000,'Scoring Rules'!$B$36,IF(S198&gt;=2000,'Scoring Rules'!$B$37,'Scoring Rules'!$B$38))))</f>
        <v/>
      </c>
      <c r="F198" s="15" t="inlineStr">
        <is>
          <t>Standard</t>
        </is>
      </c>
      <c r="G198" s="15" t="inlineStr">
        <is>
          <t>Bachelor</t>
        </is>
      </c>
      <c r="H198" s="15" t="n">
        <v>12</v>
      </c>
      <c r="I198" s="15" t="n">
        <v>2</v>
      </c>
      <c r="J198" s="15" t="n">
        <v>12</v>
      </c>
      <c r="K198" s="15" t="str"/>
      <c r="L198" s="15" t="inlineStr">
        <is>
          <t>是</t>
        </is>
      </c>
      <c r="M198" s="15" t="str"/>
      <c r="N198" s="15" t="str"/>
      <c r="O198" s="15" t="str"/>
      <c r="P198" s="15" t="inlineStr">
        <is>
          <t>是</t>
        </is>
      </c>
      <c r="Q198" s="15" t="str"/>
      <c r="R198" s="15" t="str"/>
      <c r="S198" s="15" t="n">
        <v>1272</v>
      </c>
      <c r="T198" s="15" t="inlineStr">
        <is>
          <t>Frontend; Backend/API; Data/Database</t>
        </is>
      </c>
      <c r="U198" s="15" t="inlineStr">
        <is>
          <t>Technology; Education/Research</t>
        </is>
      </c>
      <c r="V198" s="15" t="inlineStr">
        <is>
          <t>C:\Workspace\java\scrape_indeed\soft_dav_part_1\2730.html#22707</t>
        </is>
      </c>
    </row>
    <row r="199">
      <c r="A199" s="2">
        <f>IF(COUNTIF('Sample 20'!$B$2:$B$21,B199)&gt;0,"是","")</f>
        <v/>
      </c>
      <c r="B199" s="2" t="inlineStr">
        <is>
          <t>22350</t>
        </is>
      </c>
      <c r="C199" s="15" t="inlineStr">
        <is>
          <t>Software Developer</t>
        </is>
      </c>
      <c r="D199" s="15">
        <f>IF(E199&gt;='Scoring Rules'!$B$3,"强",IF(E199&gt;='Scoring Rules'!$B$4,"中","弱"))</f>
        <v/>
      </c>
      <c r="E199" s="125">
        <f>MIN(100,H199+IF(I199&gt;=5,'Scoring Rules'!$B$16,IF(I199&gt;=3,'Scoring Rules'!$B$17,IF(I199&gt;=1,'Scoring Rules'!$B$18,'Scoring Rules'!$B$19)))+IF(L199="是",'Scoring Rules'!$B$22,0)+MIN(J199*'Scoring Rules'!$B$23,'Scoring Rules'!$B$24)+IF(M199="是",'Scoring Rules'!$B$25,0)+MIN((IF(K199="",0,LEN(K199)-LEN(SUBSTITUTE(K199,";",""))+1))*'Scoring Rules'!$B$26,'Scoring Rules'!$B$27)+IF(N199="是",'Scoring Rules'!$B$28,0)+IF(O199="是",'Scoring Rules'!$B$29,0)+IF(P199="是",'Scoring Rules'!$B$30,0)+IF(Q199="是",'Scoring Rules'!$B$31,0)+IF(R199="是",'Scoring Rules'!$B$32,0)+IF(S199&gt;=8000,'Scoring Rules'!$B$35,IF(S199&gt;=4000,'Scoring Rules'!$B$36,IF(S199&gt;=2000,'Scoring Rules'!$B$37,'Scoring Rules'!$B$38))))</f>
        <v/>
      </c>
      <c r="F199" s="15" t="inlineStr">
        <is>
          <t>Standard</t>
        </is>
      </c>
      <c r="G199" s="15" t="inlineStr">
        <is>
          <t>Bachelor</t>
        </is>
      </c>
      <c r="H199" s="15" t="n">
        <v>12</v>
      </c>
      <c r="I199" s="15" t="n">
        <v>3</v>
      </c>
      <c r="J199" s="15" t="n">
        <v>10</v>
      </c>
      <c r="K199" s="15" t="str"/>
      <c r="L199" s="15" t="inlineStr">
        <is>
          <t>是</t>
        </is>
      </c>
      <c r="M199" s="15" t="str"/>
      <c r="N199" s="15" t="str"/>
      <c r="O199" s="15" t="str"/>
      <c r="P199" s="15" t="str"/>
      <c r="Q199" s="15" t="str"/>
      <c r="R199" s="15" t="str"/>
      <c r="S199" s="15" t="n">
        <v>2451</v>
      </c>
      <c r="T199" s="15" t="inlineStr">
        <is>
          <t>Frontend; Backend/API; Data/Database</t>
        </is>
      </c>
      <c r="U199" s="15" t="inlineStr">
        <is>
          <t>Finance/Banking; Technology; Education/Research</t>
        </is>
      </c>
      <c r="V199" s="15" t="inlineStr">
        <is>
          <t>C:\Workspace\java\scrape_indeed\soft_dav_part_1\275.html#22728</t>
        </is>
      </c>
    </row>
    <row r="200">
      <c r="A200" s="2">
        <f>IF(COUNTIF('Sample 20'!$B$2:$B$21,B200)&gt;0,"是","")</f>
        <v/>
      </c>
      <c r="B200" s="2" t="inlineStr">
        <is>
          <t>22353</t>
        </is>
      </c>
      <c r="C200" s="15" t="inlineStr">
        <is>
          <t>Software Developer</t>
        </is>
      </c>
      <c r="D200" s="15">
        <f>IF(E200&gt;='Scoring Rules'!$B$3,"强",IF(E200&gt;='Scoring Rules'!$B$4,"中","弱"))</f>
        <v/>
      </c>
      <c r="E200" s="125">
        <f>MIN(100,H200+IF(I200&gt;=5,'Scoring Rules'!$B$16,IF(I200&gt;=3,'Scoring Rules'!$B$17,IF(I200&gt;=1,'Scoring Rules'!$B$18,'Scoring Rules'!$B$19)))+IF(L200="是",'Scoring Rules'!$B$22,0)+MIN(J200*'Scoring Rules'!$B$23,'Scoring Rules'!$B$24)+IF(M200="是",'Scoring Rules'!$B$25,0)+MIN((IF(K200="",0,LEN(K200)-LEN(SUBSTITUTE(K200,";",""))+1))*'Scoring Rules'!$B$26,'Scoring Rules'!$B$27)+IF(N200="是",'Scoring Rules'!$B$28,0)+IF(O200="是",'Scoring Rules'!$B$29,0)+IF(P200="是",'Scoring Rules'!$B$30,0)+IF(Q200="是",'Scoring Rules'!$B$31,0)+IF(R200="是",'Scoring Rules'!$B$32,0)+IF(S200&gt;=8000,'Scoring Rules'!$B$35,IF(S200&gt;=4000,'Scoring Rules'!$B$36,IF(S200&gt;=2000,'Scoring Rules'!$B$37,'Scoring Rules'!$B$38))))</f>
        <v/>
      </c>
      <c r="F200" s="15" t="inlineStr">
        <is>
          <t>Standard</t>
        </is>
      </c>
      <c r="G200" s="15" t="inlineStr">
        <is>
          <t>Master</t>
        </is>
      </c>
      <c r="H200" s="15" t="n">
        <v>16</v>
      </c>
      <c r="I200" s="15" t="n">
        <v>1</v>
      </c>
      <c r="J200" s="15" t="n">
        <v>4</v>
      </c>
      <c r="K200" s="15" t="str"/>
      <c r="L200" s="15" t="str"/>
      <c r="M200" s="15" t="str"/>
      <c r="N200" s="15" t="str"/>
      <c r="O200" s="15" t="str"/>
      <c r="P200" s="15" t="inlineStr">
        <is>
          <t>是</t>
        </is>
      </c>
      <c r="Q200" s="15" t="str"/>
      <c r="R200" s="15" t="inlineStr">
        <is>
          <t>是</t>
        </is>
      </c>
      <c r="S200" s="15" t="n">
        <v>2673</v>
      </c>
      <c r="T200" s="15" t="inlineStr">
        <is>
          <t>Backend/API; Data/Database; Embedded/Systems</t>
        </is>
      </c>
      <c r="U200" s="15" t="inlineStr">
        <is>
          <t>Government/Defense; Technology; Education/Research</t>
        </is>
      </c>
      <c r="V200" s="15" t="inlineStr">
        <is>
          <t>C:\Workspace\java\scrape_indeed\soft_dav_part_1\278.html#22761</t>
        </is>
      </c>
    </row>
    <row r="201">
      <c r="A201" s="2">
        <f>IF(COUNTIF('Sample 20'!$B$2:$B$21,B201)&gt;0,"是","")</f>
        <v/>
      </c>
      <c r="B201" s="2" t="inlineStr">
        <is>
          <t>22368</t>
        </is>
      </c>
      <c r="C201" s="15" t="inlineStr">
        <is>
          <t>Software Developer</t>
        </is>
      </c>
      <c r="D201" s="15">
        <f>IF(E201&gt;='Scoring Rules'!$B$3,"强",IF(E201&gt;='Scoring Rules'!$B$4,"中","弱"))</f>
        <v/>
      </c>
      <c r="E201" s="125">
        <f>MIN(100,H201+IF(I201&gt;=5,'Scoring Rules'!$B$16,IF(I201&gt;=3,'Scoring Rules'!$B$17,IF(I201&gt;=1,'Scoring Rules'!$B$18,'Scoring Rules'!$B$19)))+IF(L201="是",'Scoring Rules'!$B$22,0)+MIN(J201*'Scoring Rules'!$B$23,'Scoring Rules'!$B$24)+IF(M201="是",'Scoring Rules'!$B$25,0)+MIN((IF(K201="",0,LEN(K201)-LEN(SUBSTITUTE(K201,";",""))+1))*'Scoring Rules'!$B$26,'Scoring Rules'!$B$27)+IF(N201="是",'Scoring Rules'!$B$28,0)+IF(O201="是",'Scoring Rules'!$B$29,0)+IF(P201="是",'Scoring Rules'!$B$30,0)+IF(Q201="是",'Scoring Rules'!$B$31,0)+IF(R201="是",'Scoring Rules'!$B$32,0)+IF(S201&gt;=8000,'Scoring Rules'!$B$35,IF(S201&gt;=4000,'Scoring Rules'!$B$36,IF(S201&gt;=2000,'Scoring Rules'!$B$37,'Scoring Rules'!$B$38))))</f>
        <v/>
      </c>
      <c r="F201" s="15" t="inlineStr">
        <is>
          <t>Standard</t>
        </is>
      </c>
      <c r="G201" s="15" t="inlineStr">
        <is>
          <t>Unspecified</t>
        </is>
      </c>
      <c r="H201" s="15" t="n">
        <v>0</v>
      </c>
      <c r="I201" s="15" t="n">
        <v>4</v>
      </c>
      <c r="J201" s="15" t="n">
        <v>10</v>
      </c>
      <c r="K201" s="15" t="str"/>
      <c r="L201" s="15" t="str"/>
      <c r="M201" s="15" t="str"/>
      <c r="N201" s="15" t="str"/>
      <c r="O201" s="15" t="str"/>
      <c r="P201" s="15" t="str"/>
      <c r="Q201" s="15" t="str"/>
      <c r="R201" s="15" t="str"/>
      <c r="S201" s="15" t="n">
        <v>1951</v>
      </c>
      <c r="T201" s="15" t="inlineStr">
        <is>
          <t>Frontend; Backend/API; Data/Database</t>
        </is>
      </c>
      <c r="U201" s="15" t="inlineStr">
        <is>
          <t>Technology; Manufacturing/Automotive</t>
        </is>
      </c>
      <c r="V201" s="15" t="inlineStr">
        <is>
          <t>C:\Workspace\java\scrape_indeed\soft_dav_part_1\28.html#22783</t>
        </is>
      </c>
    </row>
    <row r="202">
      <c r="A202" s="2">
        <f>IF(COUNTIF('Sample 20'!$B$2:$B$21,B202)&gt;0,"是","")</f>
        <v/>
      </c>
      <c r="B202" s="2" t="inlineStr">
        <is>
          <t>22371</t>
        </is>
      </c>
      <c r="C202" s="15" t="inlineStr">
        <is>
          <t>Software Developer</t>
        </is>
      </c>
      <c r="D202" s="15">
        <f>IF(E202&gt;='Scoring Rules'!$B$3,"强",IF(E202&gt;='Scoring Rules'!$B$4,"中","弱"))</f>
        <v/>
      </c>
      <c r="E202" s="125">
        <f>MIN(100,H202+IF(I202&gt;=5,'Scoring Rules'!$B$16,IF(I202&gt;=3,'Scoring Rules'!$B$17,IF(I202&gt;=1,'Scoring Rules'!$B$18,'Scoring Rules'!$B$19)))+IF(L202="是",'Scoring Rules'!$B$22,0)+MIN(J202*'Scoring Rules'!$B$23,'Scoring Rules'!$B$24)+IF(M202="是",'Scoring Rules'!$B$25,0)+MIN((IF(K202="",0,LEN(K202)-LEN(SUBSTITUTE(K202,";",""))+1))*'Scoring Rules'!$B$26,'Scoring Rules'!$B$27)+IF(N202="是",'Scoring Rules'!$B$28,0)+IF(O202="是",'Scoring Rules'!$B$29,0)+IF(P202="是",'Scoring Rules'!$B$30,0)+IF(Q202="是",'Scoring Rules'!$B$31,0)+IF(R202="是",'Scoring Rules'!$B$32,0)+IF(S202&gt;=8000,'Scoring Rules'!$B$35,IF(S202&gt;=4000,'Scoring Rules'!$B$36,IF(S202&gt;=2000,'Scoring Rules'!$B$37,'Scoring Rules'!$B$38))))</f>
        <v/>
      </c>
      <c r="F202" s="15" t="inlineStr">
        <is>
          <t>Standard</t>
        </is>
      </c>
      <c r="G202" s="15" t="inlineStr">
        <is>
          <t>Certificate</t>
        </is>
      </c>
      <c r="H202" s="15" t="n">
        <v>6</v>
      </c>
      <c r="I202" s="15" t="n">
        <v>11</v>
      </c>
      <c r="J202" s="15" t="n">
        <v>24</v>
      </c>
      <c r="K202" s="15" t="str"/>
      <c r="L202" s="15" t="inlineStr">
        <is>
          <t>是</t>
        </is>
      </c>
      <c r="M202" s="15" t="inlineStr">
        <is>
          <t>是</t>
        </is>
      </c>
      <c r="N202" s="15" t="str"/>
      <c r="O202" s="15" t="str"/>
      <c r="P202" s="15" t="str"/>
      <c r="Q202" s="15" t="str"/>
      <c r="R202" s="15" t="inlineStr">
        <is>
          <t>是</t>
        </is>
      </c>
      <c r="S202" s="15" t="n">
        <v>7075</v>
      </c>
      <c r="T202" s="15" t="inlineStr">
        <is>
          <t>Frontend; Backend/API; Data/Database; Cloud/DevOps; Embedded/Systems</t>
        </is>
      </c>
      <c r="U202" s="15" t="inlineStr">
        <is>
          <t>Government/Defense; Technology; Consulting; Education/Research</t>
        </is>
      </c>
      <c r="V202" s="15" t="inlineStr">
        <is>
          <t>C:\Workspace\java\scrape_indeed\soft_dav_part_1\2801.html#22786</t>
        </is>
      </c>
    </row>
    <row r="203">
      <c r="A203" s="2">
        <f>IF(COUNTIF('Sample 20'!$B$2:$B$21,B203)&gt;0,"是","")</f>
        <v/>
      </c>
      <c r="B203" s="2" t="inlineStr">
        <is>
          <t>22401</t>
        </is>
      </c>
      <c r="C203" s="15" t="inlineStr">
        <is>
          <t>Software Developer</t>
        </is>
      </c>
      <c r="D203" s="15">
        <f>IF(E203&gt;='Scoring Rules'!$B$3,"强",IF(E203&gt;='Scoring Rules'!$B$4,"中","弱"))</f>
        <v/>
      </c>
      <c r="E203" s="125">
        <f>MIN(100,H203+IF(I203&gt;=5,'Scoring Rules'!$B$16,IF(I203&gt;=3,'Scoring Rules'!$B$17,IF(I203&gt;=1,'Scoring Rules'!$B$18,'Scoring Rules'!$B$19)))+IF(L203="是",'Scoring Rules'!$B$22,0)+MIN(J203*'Scoring Rules'!$B$23,'Scoring Rules'!$B$24)+IF(M203="是",'Scoring Rules'!$B$25,0)+MIN((IF(K203="",0,LEN(K203)-LEN(SUBSTITUTE(K203,";",""))+1))*'Scoring Rules'!$B$26,'Scoring Rules'!$B$27)+IF(N203="是",'Scoring Rules'!$B$28,0)+IF(O203="是",'Scoring Rules'!$B$29,0)+IF(P203="是",'Scoring Rules'!$B$30,0)+IF(Q203="是",'Scoring Rules'!$B$31,0)+IF(R203="是",'Scoring Rules'!$B$32,0)+IF(S203&gt;=8000,'Scoring Rules'!$B$35,IF(S203&gt;=4000,'Scoring Rules'!$B$36,IF(S203&gt;=2000,'Scoring Rules'!$B$37,'Scoring Rules'!$B$38))))</f>
        <v/>
      </c>
      <c r="F203" s="15" t="inlineStr">
        <is>
          <t>Standard</t>
        </is>
      </c>
      <c r="G203" s="15" t="inlineStr">
        <is>
          <t>Unspecified</t>
        </is>
      </c>
      <c r="H203" s="15" t="n">
        <v>2</v>
      </c>
      <c r="I203" s="15" t="n">
        <v>3</v>
      </c>
      <c r="J203" s="15" t="n">
        <v>8</v>
      </c>
      <c r="K203" s="15" t="str"/>
      <c r="L203" s="15" t="inlineStr">
        <is>
          <t>是</t>
        </is>
      </c>
      <c r="M203" s="15" t="str"/>
      <c r="N203" s="15" t="str"/>
      <c r="O203" s="15" t="str"/>
      <c r="P203" s="15" t="str"/>
      <c r="Q203" s="15" t="str"/>
      <c r="R203" s="15" t="str"/>
      <c r="S203" s="15" t="n">
        <v>1351</v>
      </c>
      <c r="T203" s="15" t="inlineStr">
        <is>
          <t>Backend/API; Data/Database</t>
        </is>
      </c>
      <c r="U203" s="15" t="inlineStr">
        <is>
          <t>Technology; Education/Research</t>
        </is>
      </c>
      <c r="V203" s="15" t="inlineStr">
        <is>
          <t>C:\Workspace\java\scrape_indeed\soft_dav_part_1\283.html#22817</t>
        </is>
      </c>
    </row>
    <row r="204">
      <c r="A204" s="2">
        <f>IF(COUNTIF('Sample 20'!$B$2:$B$21,B204)&gt;0,"是","")</f>
        <v/>
      </c>
      <c r="B204" s="2" t="inlineStr">
        <is>
          <t>22449</t>
        </is>
      </c>
      <c r="C204" s="15" t="inlineStr">
        <is>
          <t>Software Developer</t>
        </is>
      </c>
      <c r="D204" s="15">
        <f>IF(E204&gt;='Scoring Rules'!$B$3,"强",IF(E204&gt;='Scoring Rules'!$B$4,"中","弱"))</f>
        <v/>
      </c>
      <c r="E204" s="125">
        <f>MIN(100,H204+IF(I204&gt;=5,'Scoring Rules'!$B$16,IF(I204&gt;=3,'Scoring Rules'!$B$17,IF(I204&gt;=1,'Scoring Rules'!$B$18,'Scoring Rules'!$B$19)))+IF(L204="是",'Scoring Rules'!$B$22,0)+MIN(J204*'Scoring Rules'!$B$23,'Scoring Rules'!$B$24)+IF(M204="是",'Scoring Rules'!$B$25,0)+MIN((IF(K204="",0,LEN(K204)-LEN(SUBSTITUTE(K204,";",""))+1))*'Scoring Rules'!$B$26,'Scoring Rules'!$B$27)+IF(N204="是",'Scoring Rules'!$B$28,0)+IF(O204="是",'Scoring Rules'!$B$29,0)+IF(P204="是",'Scoring Rules'!$B$30,0)+IF(Q204="是",'Scoring Rules'!$B$31,0)+IF(R204="是",'Scoring Rules'!$B$32,0)+IF(S204&gt;=8000,'Scoring Rules'!$B$35,IF(S204&gt;=4000,'Scoring Rules'!$B$36,IF(S204&gt;=2000,'Scoring Rules'!$B$37,'Scoring Rules'!$B$38))))</f>
        <v/>
      </c>
      <c r="F204" s="15" t="inlineStr">
        <is>
          <t>Standard</t>
        </is>
      </c>
      <c r="G204" s="15" t="inlineStr">
        <is>
          <t>Bachelor</t>
        </is>
      </c>
      <c r="H204" s="15" t="n">
        <v>12</v>
      </c>
      <c r="I204" s="15" t="n">
        <v>3</v>
      </c>
      <c r="J204" s="15" t="n">
        <v>13</v>
      </c>
      <c r="K204" s="15" t="str"/>
      <c r="L204" s="15" t="inlineStr">
        <is>
          <t>是</t>
        </is>
      </c>
      <c r="M204" s="15" t="str"/>
      <c r="N204" s="15" t="str"/>
      <c r="O204" s="15" t="str"/>
      <c r="P204" s="15" t="str"/>
      <c r="Q204" s="15" t="str"/>
      <c r="R204" s="15" t="inlineStr">
        <is>
          <t>是</t>
        </is>
      </c>
      <c r="S204" s="15" t="n">
        <v>3712</v>
      </c>
      <c r="T204" s="15" t="inlineStr">
        <is>
          <t>Frontend; Backend/API; Data/Database</t>
        </is>
      </c>
      <c r="U204" s="15" t="inlineStr">
        <is>
          <t>Government/Defense; Technology; Education/Research; Retail/E-commerce; Manufacturing/Automotive</t>
        </is>
      </c>
      <c r="V204" s="15" t="inlineStr">
        <is>
          <t>C:\Workspace\java\scrape_indeed\soft_dav_part_1\2876.html#22868</t>
        </is>
      </c>
    </row>
    <row r="205">
      <c r="A205" s="2">
        <f>IF(COUNTIF('Sample 20'!$B$2:$B$21,B205)&gt;0,"是","")</f>
        <v/>
      </c>
      <c r="B205" s="2" t="inlineStr">
        <is>
          <t>22456</t>
        </is>
      </c>
      <c r="C205" s="15" t="inlineStr">
        <is>
          <t>Software Developer</t>
        </is>
      </c>
      <c r="D205" s="15">
        <f>IF(E205&gt;='Scoring Rules'!$B$3,"强",IF(E205&gt;='Scoring Rules'!$B$4,"中","弱"))</f>
        <v/>
      </c>
      <c r="E205" s="125">
        <f>MIN(100,H205+IF(I205&gt;=5,'Scoring Rules'!$B$16,IF(I205&gt;=3,'Scoring Rules'!$B$17,IF(I205&gt;=1,'Scoring Rules'!$B$18,'Scoring Rules'!$B$19)))+IF(L205="是",'Scoring Rules'!$B$22,0)+MIN(J205*'Scoring Rules'!$B$23,'Scoring Rules'!$B$24)+IF(M205="是",'Scoring Rules'!$B$25,0)+MIN((IF(K205="",0,LEN(K205)-LEN(SUBSTITUTE(K205,";",""))+1))*'Scoring Rules'!$B$26,'Scoring Rules'!$B$27)+IF(N205="是",'Scoring Rules'!$B$28,0)+IF(O205="是",'Scoring Rules'!$B$29,0)+IF(P205="是",'Scoring Rules'!$B$30,0)+IF(Q205="是",'Scoring Rules'!$B$31,0)+IF(R205="是",'Scoring Rules'!$B$32,0)+IF(S205&gt;=8000,'Scoring Rules'!$B$35,IF(S205&gt;=4000,'Scoring Rules'!$B$36,IF(S205&gt;=2000,'Scoring Rules'!$B$37,'Scoring Rules'!$B$38))))</f>
        <v/>
      </c>
      <c r="F205" s="15" t="inlineStr">
        <is>
          <t>Standard</t>
        </is>
      </c>
      <c r="G205" s="15" t="inlineStr">
        <is>
          <t>Associate</t>
        </is>
      </c>
      <c r="H205" s="15" t="n">
        <v>8</v>
      </c>
      <c r="I205" s="15" t="n">
        <v>3</v>
      </c>
      <c r="J205" s="15" t="n">
        <v>17</v>
      </c>
      <c r="K205" s="15" t="str"/>
      <c r="L205" s="15" t="inlineStr">
        <is>
          <t>是</t>
        </is>
      </c>
      <c r="M205" s="15" t="inlineStr">
        <is>
          <t>是</t>
        </is>
      </c>
      <c r="N205" s="15" t="inlineStr">
        <is>
          <t>是</t>
        </is>
      </c>
      <c r="O205" s="15" t="inlineStr">
        <is>
          <t>是</t>
        </is>
      </c>
      <c r="P205" s="15" t="inlineStr">
        <is>
          <t>是</t>
        </is>
      </c>
      <c r="Q205" s="15" t="str"/>
      <c r="R205" s="15" t="inlineStr">
        <is>
          <t>是</t>
        </is>
      </c>
      <c r="S205" s="15" t="n">
        <v>3947</v>
      </c>
      <c r="T205" s="15" t="inlineStr">
        <is>
          <t>Frontend; Backend/API; Mobile; Data/Database; Cloud/DevOps</t>
        </is>
      </c>
      <c r="U205" s="15" t="inlineStr">
        <is>
          <t>Technology; Consulting; Education/Research; Manufacturing/Automotive</t>
        </is>
      </c>
      <c r="V205" s="15" t="inlineStr">
        <is>
          <t>C:\Workspace\java\scrape_indeed\soft_dav_part_1\2882.html#22875</t>
        </is>
      </c>
    </row>
    <row r="206">
      <c r="A206" s="2">
        <f>IF(COUNTIF('Sample 20'!$B$2:$B$21,B206)&gt;0,"是","")</f>
        <v/>
      </c>
      <c r="B206" s="2" t="inlineStr">
        <is>
          <t>22496</t>
        </is>
      </c>
      <c r="C206" s="15" t="inlineStr">
        <is>
          <t>SOFTWARE DEVELOPER</t>
        </is>
      </c>
      <c r="D206" s="15">
        <f>IF(E206&gt;='Scoring Rules'!$B$3,"强",IF(E206&gt;='Scoring Rules'!$B$4,"中","弱"))</f>
        <v/>
      </c>
      <c r="E206" s="125">
        <f>MIN(100,H206+IF(I206&gt;=5,'Scoring Rules'!$B$16,IF(I206&gt;=3,'Scoring Rules'!$B$17,IF(I206&gt;=1,'Scoring Rules'!$B$18,'Scoring Rules'!$B$19)))+IF(L206="是",'Scoring Rules'!$B$22,0)+MIN(J206*'Scoring Rules'!$B$23,'Scoring Rules'!$B$24)+IF(M206="是",'Scoring Rules'!$B$25,0)+MIN((IF(K206="",0,LEN(K206)-LEN(SUBSTITUTE(K206,";",""))+1))*'Scoring Rules'!$B$26,'Scoring Rules'!$B$27)+IF(N206="是",'Scoring Rules'!$B$28,0)+IF(O206="是",'Scoring Rules'!$B$29,0)+IF(P206="是",'Scoring Rules'!$B$30,0)+IF(Q206="是",'Scoring Rules'!$B$31,0)+IF(R206="是",'Scoring Rules'!$B$32,0)+IF(S206&gt;=8000,'Scoring Rules'!$B$35,IF(S206&gt;=4000,'Scoring Rules'!$B$36,IF(S206&gt;=2000,'Scoring Rules'!$B$37,'Scoring Rules'!$B$38))))</f>
        <v/>
      </c>
      <c r="F206" s="15" t="inlineStr">
        <is>
          <t>Standard</t>
        </is>
      </c>
      <c r="G206" s="15" t="inlineStr">
        <is>
          <t>Unspecified</t>
        </is>
      </c>
      <c r="H206" s="15" t="n">
        <v>2</v>
      </c>
      <c r="I206" s="15" t="n">
        <v>2</v>
      </c>
      <c r="J206" s="15" t="n">
        <v>9</v>
      </c>
      <c r="K206" s="15" t="str"/>
      <c r="L206" s="15" t="str"/>
      <c r="M206" s="15" t="str"/>
      <c r="N206" s="15" t="str"/>
      <c r="O206" s="15" t="str"/>
      <c r="P206" s="15" t="inlineStr">
        <is>
          <t>是</t>
        </is>
      </c>
      <c r="Q206" s="15" t="inlineStr">
        <is>
          <t>是</t>
        </is>
      </c>
      <c r="R206" s="15" t="inlineStr">
        <is>
          <t>是</t>
        </is>
      </c>
      <c r="S206" s="15" t="n">
        <v>2868</v>
      </c>
      <c r="T206" s="15" t="inlineStr">
        <is>
          <t>Backend/API; Data/Database; Testing/Automation</t>
        </is>
      </c>
      <c r="U206" s="15" t="inlineStr">
        <is>
          <t>Technology; Education/Research</t>
        </is>
      </c>
      <c r="V206" s="15" t="inlineStr">
        <is>
          <t>C:\Workspace\java\scrape_indeed\soft_dav_part_1\292.html#22917</t>
        </is>
      </c>
    </row>
    <row r="207">
      <c r="A207" s="2">
        <f>IF(COUNTIF('Sample 20'!$B$2:$B$21,B207)&gt;0,"是","")</f>
        <v/>
      </c>
      <c r="B207" s="2" t="inlineStr">
        <is>
          <t>22520</t>
        </is>
      </c>
      <c r="C207" s="15" t="inlineStr">
        <is>
          <t>SOFTWARE DEVELOPER</t>
        </is>
      </c>
      <c r="D207" s="15">
        <f>IF(E207&gt;='Scoring Rules'!$B$3,"强",IF(E207&gt;='Scoring Rules'!$B$4,"中","弱"))</f>
        <v/>
      </c>
      <c r="E207" s="125">
        <f>MIN(100,H207+IF(I207&gt;=5,'Scoring Rules'!$B$16,IF(I207&gt;=3,'Scoring Rules'!$B$17,IF(I207&gt;=1,'Scoring Rules'!$B$18,'Scoring Rules'!$B$19)))+IF(L207="是",'Scoring Rules'!$B$22,0)+MIN(J207*'Scoring Rules'!$B$23,'Scoring Rules'!$B$24)+IF(M207="是",'Scoring Rules'!$B$25,0)+MIN((IF(K207="",0,LEN(K207)-LEN(SUBSTITUTE(K207,";",""))+1))*'Scoring Rules'!$B$26,'Scoring Rules'!$B$27)+IF(N207="是",'Scoring Rules'!$B$28,0)+IF(O207="是",'Scoring Rules'!$B$29,0)+IF(P207="是",'Scoring Rules'!$B$30,0)+IF(Q207="是",'Scoring Rules'!$B$31,0)+IF(R207="是",'Scoring Rules'!$B$32,0)+IF(S207&gt;=8000,'Scoring Rules'!$B$35,IF(S207&gt;=4000,'Scoring Rules'!$B$36,IF(S207&gt;=2000,'Scoring Rules'!$B$37,'Scoring Rules'!$B$38))))</f>
        <v/>
      </c>
      <c r="F207" s="15" t="inlineStr">
        <is>
          <t>Standard</t>
        </is>
      </c>
      <c r="G207" s="15" t="inlineStr">
        <is>
          <t>Bachelor</t>
        </is>
      </c>
      <c r="H207" s="15" t="n">
        <v>12</v>
      </c>
      <c r="I207" s="15" t="n">
        <v>3</v>
      </c>
      <c r="J207" s="15" t="n">
        <v>14</v>
      </c>
      <c r="K207" s="15" t="str"/>
      <c r="L207" s="15" t="inlineStr">
        <is>
          <t>是</t>
        </is>
      </c>
      <c r="M207" s="15" t="str"/>
      <c r="N207" s="15" t="str"/>
      <c r="O207" s="15" t="str"/>
      <c r="P207" s="15" t="inlineStr">
        <is>
          <t>是</t>
        </is>
      </c>
      <c r="Q207" s="15" t="inlineStr">
        <is>
          <t>是</t>
        </is>
      </c>
      <c r="R207" s="15" t="inlineStr">
        <is>
          <t>是</t>
        </is>
      </c>
      <c r="S207" s="15" t="n">
        <v>3631</v>
      </c>
      <c r="T207" s="15" t="inlineStr">
        <is>
          <t>Frontend; Backend/API; Data/Database</t>
        </is>
      </c>
      <c r="U207" s="15" t="inlineStr">
        <is>
          <t>Technology; Education/Research</t>
        </is>
      </c>
      <c r="V207" s="15" t="inlineStr">
        <is>
          <t>C:\Workspace\java\scrape_indeed\soft_dav_part_1\2942.html#22942</t>
        </is>
      </c>
    </row>
    <row r="208">
      <c r="A208" s="2">
        <f>IF(COUNTIF('Sample 20'!$B$2:$B$21,B208)&gt;0,"是","")</f>
        <v/>
      </c>
      <c r="B208" s="2" t="inlineStr">
        <is>
          <t>22533</t>
        </is>
      </c>
      <c r="C208" s="15" t="inlineStr">
        <is>
          <t>Software Developer</t>
        </is>
      </c>
      <c r="D208" s="15">
        <f>IF(E208&gt;='Scoring Rules'!$B$3,"强",IF(E208&gt;='Scoring Rules'!$B$4,"中","弱"))</f>
        <v/>
      </c>
      <c r="E208" s="125">
        <f>MIN(100,H208+IF(I208&gt;=5,'Scoring Rules'!$B$16,IF(I208&gt;=3,'Scoring Rules'!$B$17,IF(I208&gt;=1,'Scoring Rules'!$B$18,'Scoring Rules'!$B$19)))+IF(L208="是",'Scoring Rules'!$B$22,0)+MIN(J208*'Scoring Rules'!$B$23,'Scoring Rules'!$B$24)+IF(M208="是",'Scoring Rules'!$B$25,0)+MIN((IF(K208="",0,LEN(K208)-LEN(SUBSTITUTE(K208,";",""))+1))*'Scoring Rules'!$B$26,'Scoring Rules'!$B$27)+IF(N208="是",'Scoring Rules'!$B$28,0)+IF(O208="是",'Scoring Rules'!$B$29,0)+IF(P208="是",'Scoring Rules'!$B$30,0)+IF(Q208="是",'Scoring Rules'!$B$31,0)+IF(R208="是",'Scoring Rules'!$B$32,0)+IF(S208&gt;=8000,'Scoring Rules'!$B$35,IF(S208&gt;=4000,'Scoring Rules'!$B$36,IF(S208&gt;=2000,'Scoring Rules'!$B$37,'Scoring Rules'!$B$38))))</f>
        <v/>
      </c>
      <c r="F208" s="15" t="inlineStr">
        <is>
          <t>Standard</t>
        </is>
      </c>
      <c r="G208" s="15" t="inlineStr">
        <is>
          <t>Unspecified</t>
        </is>
      </c>
      <c r="H208" s="15" t="n">
        <v>2</v>
      </c>
      <c r="I208" s="15" t="n">
        <v>1</v>
      </c>
      <c r="J208" s="15" t="n">
        <v>9</v>
      </c>
      <c r="K208" s="15" t="str"/>
      <c r="L208" s="15" t="str"/>
      <c r="M208" s="15" t="str"/>
      <c r="N208" s="15" t="str"/>
      <c r="O208" s="15" t="str"/>
      <c r="P208" s="15" t="inlineStr">
        <is>
          <t>是</t>
        </is>
      </c>
      <c r="Q208" s="15" t="inlineStr">
        <is>
          <t>是</t>
        </is>
      </c>
      <c r="R208" s="15" t="inlineStr">
        <is>
          <t>是</t>
        </is>
      </c>
      <c r="S208" s="15" t="n">
        <v>1885</v>
      </c>
      <c r="T208" s="15" t="inlineStr">
        <is>
          <t>Frontend; Backend/API; Data/Database</t>
        </is>
      </c>
      <c r="U208" s="15" t="inlineStr">
        <is>
          <t>Technology</t>
        </is>
      </c>
      <c r="V208" s="15" t="inlineStr">
        <is>
          <t>C:\Workspace\java\scrape_indeed\soft_dav_part_1\2954.html#22955</t>
        </is>
      </c>
    </row>
    <row r="209">
      <c r="A209" s="2">
        <f>IF(COUNTIF('Sample 20'!$B$2:$B$21,B209)&gt;0,"是","")</f>
        <v/>
      </c>
      <c r="B209" s="2" t="inlineStr">
        <is>
          <t>22537</t>
        </is>
      </c>
      <c r="C209" s="15" t="inlineStr">
        <is>
          <t>Software Developer</t>
        </is>
      </c>
      <c r="D209" s="15">
        <f>IF(E209&gt;='Scoring Rules'!$B$3,"强",IF(E209&gt;='Scoring Rules'!$B$4,"中","弱"))</f>
        <v/>
      </c>
      <c r="E209" s="125">
        <f>MIN(100,H209+IF(I209&gt;=5,'Scoring Rules'!$B$16,IF(I209&gt;=3,'Scoring Rules'!$B$17,IF(I209&gt;=1,'Scoring Rules'!$B$18,'Scoring Rules'!$B$19)))+IF(L209="是",'Scoring Rules'!$B$22,0)+MIN(J209*'Scoring Rules'!$B$23,'Scoring Rules'!$B$24)+IF(M209="是",'Scoring Rules'!$B$25,0)+MIN((IF(K209="",0,LEN(K209)-LEN(SUBSTITUTE(K209,";",""))+1))*'Scoring Rules'!$B$26,'Scoring Rules'!$B$27)+IF(N209="是",'Scoring Rules'!$B$28,0)+IF(O209="是",'Scoring Rules'!$B$29,0)+IF(P209="是",'Scoring Rules'!$B$30,0)+IF(Q209="是",'Scoring Rules'!$B$31,0)+IF(R209="是",'Scoring Rules'!$B$32,0)+IF(S209&gt;=8000,'Scoring Rules'!$B$35,IF(S209&gt;=4000,'Scoring Rules'!$B$36,IF(S209&gt;=2000,'Scoring Rules'!$B$37,'Scoring Rules'!$B$38))))</f>
        <v/>
      </c>
      <c r="F209" s="15" t="inlineStr">
        <is>
          <t>Standard</t>
        </is>
      </c>
      <c r="G209" s="15" t="inlineStr">
        <is>
          <t>Bachelor</t>
        </is>
      </c>
      <c r="H209" s="15" t="n">
        <v>12</v>
      </c>
      <c r="I209" s="15" t="n">
        <v>1</v>
      </c>
      <c r="J209" s="15" t="n">
        <v>15</v>
      </c>
      <c r="K209" s="15" t="str"/>
      <c r="L209" s="15" t="inlineStr">
        <is>
          <t>是</t>
        </is>
      </c>
      <c r="M209" s="15" t="str"/>
      <c r="N209" s="15" t="inlineStr">
        <is>
          <t>是</t>
        </is>
      </c>
      <c r="O209" s="15" t="str"/>
      <c r="P209" s="15" t="str"/>
      <c r="Q209" s="15" t="str"/>
      <c r="R209" s="15" t="inlineStr">
        <is>
          <t>是</t>
        </is>
      </c>
      <c r="S209" s="15" t="n">
        <v>1825</v>
      </c>
      <c r="T209" s="15" t="inlineStr">
        <is>
          <t>Frontend; Backend/API; Mobile; Data/Database; Testing/Automation</t>
        </is>
      </c>
      <c r="U209" s="15" t="inlineStr">
        <is>
          <t>Technology; Education/Research</t>
        </is>
      </c>
      <c r="V209" s="15" t="inlineStr">
        <is>
          <t>C:\Workspace\java\scrape_indeed\soft_dav_part_1\2958.html#22959</t>
        </is>
      </c>
    </row>
    <row r="210">
      <c r="A210" s="2">
        <f>IF(COUNTIF('Sample 20'!$B$2:$B$21,B210)&gt;0,"是","")</f>
        <v/>
      </c>
      <c r="B210" s="2" t="inlineStr">
        <is>
          <t>22540</t>
        </is>
      </c>
      <c r="C210" s="15" t="inlineStr">
        <is>
          <t>Software Developer</t>
        </is>
      </c>
      <c r="D210" s="15">
        <f>IF(E210&gt;='Scoring Rules'!$B$3,"强",IF(E210&gt;='Scoring Rules'!$B$4,"中","弱"))</f>
        <v/>
      </c>
      <c r="E210" s="125">
        <f>MIN(100,H210+IF(I210&gt;=5,'Scoring Rules'!$B$16,IF(I210&gt;=3,'Scoring Rules'!$B$17,IF(I210&gt;=1,'Scoring Rules'!$B$18,'Scoring Rules'!$B$19)))+IF(L210="是",'Scoring Rules'!$B$22,0)+MIN(J210*'Scoring Rules'!$B$23,'Scoring Rules'!$B$24)+IF(M210="是",'Scoring Rules'!$B$25,0)+MIN((IF(K210="",0,LEN(K210)-LEN(SUBSTITUTE(K210,";",""))+1))*'Scoring Rules'!$B$26,'Scoring Rules'!$B$27)+IF(N210="是",'Scoring Rules'!$B$28,0)+IF(O210="是",'Scoring Rules'!$B$29,0)+IF(P210="是",'Scoring Rules'!$B$30,0)+IF(Q210="是",'Scoring Rules'!$B$31,0)+IF(R210="是",'Scoring Rules'!$B$32,0)+IF(S210&gt;=8000,'Scoring Rules'!$B$35,IF(S210&gt;=4000,'Scoring Rules'!$B$36,IF(S210&gt;=2000,'Scoring Rules'!$B$37,'Scoring Rules'!$B$38))))</f>
        <v/>
      </c>
      <c r="F210" s="15" t="inlineStr">
        <is>
          <t>Standard</t>
        </is>
      </c>
      <c r="G210" s="15" t="inlineStr">
        <is>
          <t>Bachelor</t>
        </is>
      </c>
      <c r="H210" s="15" t="n">
        <v>12</v>
      </c>
      <c r="I210" s="15" t="n">
        <v>2</v>
      </c>
      <c r="J210" s="15" t="n">
        <v>13</v>
      </c>
      <c r="K210" s="15" t="str"/>
      <c r="L210" s="15" t="inlineStr">
        <is>
          <t>是</t>
        </is>
      </c>
      <c r="M210" s="15" t="str"/>
      <c r="N210" s="15" t="str"/>
      <c r="O210" s="15" t="str"/>
      <c r="P210" s="15" t="str"/>
      <c r="Q210" s="15" t="str"/>
      <c r="R210" s="15" t="inlineStr">
        <is>
          <t>是</t>
        </is>
      </c>
      <c r="S210" s="15" t="n">
        <v>2779</v>
      </c>
      <c r="T210" s="15" t="inlineStr">
        <is>
          <t>Backend/API; Data/Database; Cloud/DevOps</t>
        </is>
      </c>
      <c r="U210" s="15" t="inlineStr">
        <is>
          <t>Government/Defense; Technology; Education/Research</t>
        </is>
      </c>
      <c r="V210" s="15" t="inlineStr">
        <is>
          <t>C:\Workspace\java\scrape_indeed\soft_dav_part_1\2960.html#22962</t>
        </is>
      </c>
    </row>
    <row r="211">
      <c r="A211" s="2">
        <f>IF(COUNTIF('Sample 20'!$B$2:$B$21,B211)&gt;0,"是","")</f>
        <v/>
      </c>
      <c r="B211" s="2" t="inlineStr">
        <is>
          <t>22542</t>
        </is>
      </c>
      <c r="C211" s="15" t="inlineStr">
        <is>
          <t>software developer</t>
        </is>
      </c>
      <c r="D211" s="15">
        <f>IF(E211&gt;='Scoring Rules'!$B$3,"强",IF(E211&gt;='Scoring Rules'!$B$4,"中","弱"))</f>
        <v/>
      </c>
      <c r="E211" s="125">
        <f>MIN(100,H211+IF(I211&gt;=5,'Scoring Rules'!$B$16,IF(I211&gt;=3,'Scoring Rules'!$B$17,IF(I211&gt;=1,'Scoring Rules'!$B$18,'Scoring Rules'!$B$19)))+IF(L211="是",'Scoring Rules'!$B$22,0)+MIN(J211*'Scoring Rules'!$B$23,'Scoring Rules'!$B$24)+IF(M211="是",'Scoring Rules'!$B$25,0)+MIN((IF(K211="",0,LEN(K211)-LEN(SUBSTITUTE(K211,";",""))+1))*'Scoring Rules'!$B$26,'Scoring Rules'!$B$27)+IF(N211="是",'Scoring Rules'!$B$28,0)+IF(O211="是",'Scoring Rules'!$B$29,0)+IF(P211="是",'Scoring Rules'!$B$30,0)+IF(Q211="是",'Scoring Rules'!$B$31,0)+IF(R211="是",'Scoring Rules'!$B$32,0)+IF(S211&gt;=8000,'Scoring Rules'!$B$35,IF(S211&gt;=4000,'Scoring Rules'!$B$36,IF(S211&gt;=2000,'Scoring Rules'!$B$37,'Scoring Rules'!$B$38))))</f>
        <v/>
      </c>
      <c r="F211" s="15" t="inlineStr">
        <is>
          <t>Standard</t>
        </is>
      </c>
      <c r="G211" s="15" t="inlineStr">
        <is>
          <t>Unspecified</t>
        </is>
      </c>
      <c r="H211" s="15" t="n">
        <v>2</v>
      </c>
      <c r="I211" s="15" t="n">
        <v>1</v>
      </c>
      <c r="J211" s="15" t="n">
        <v>7</v>
      </c>
      <c r="K211" s="15" t="str"/>
      <c r="L211" s="15" t="str"/>
      <c r="M211" s="15" t="str"/>
      <c r="N211" s="15" t="str"/>
      <c r="O211" s="15" t="str"/>
      <c r="P211" s="15" t="str"/>
      <c r="Q211" s="15" t="inlineStr">
        <is>
          <t>是</t>
        </is>
      </c>
      <c r="R211" s="15" t="inlineStr">
        <is>
          <t>是</t>
        </is>
      </c>
      <c r="S211" s="15" t="n">
        <v>2800</v>
      </c>
      <c r="T211" s="15" t="inlineStr">
        <is>
          <t>Frontend; Backend/API; Data/Database; Machine Learning</t>
        </is>
      </c>
      <c r="U211" s="15" t="inlineStr">
        <is>
          <t>Technology; Education/Research</t>
        </is>
      </c>
      <c r="V211" s="15" t="inlineStr">
        <is>
          <t>C:\Workspace\java\scrape_indeed\soft_dav_part_1\2962.html#22964</t>
        </is>
      </c>
    </row>
    <row r="212">
      <c r="A212" s="2">
        <f>IF(COUNTIF('Sample 20'!$B$2:$B$21,B212)&gt;0,"是","")</f>
        <v/>
      </c>
      <c r="B212" s="2" t="inlineStr">
        <is>
          <t>22546</t>
        </is>
      </c>
      <c r="C212" s="15" t="inlineStr">
        <is>
          <t>Software Developer</t>
        </is>
      </c>
      <c r="D212" s="15">
        <f>IF(E212&gt;='Scoring Rules'!$B$3,"强",IF(E212&gt;='Scoring Rules'!$B$4,"中","弱"))</f>
        <v/>
      </c>
      <c r="E212" s="125">
        <f>MIN(100,H212+IF(I212&gt;=5,'Scoring Rules'!$B$16,IF(I212&gt;=3,'Scoring Rules'!$B$17,IF(I212&gt;=1,'Scoring Rules'!$B$18,'Scoring Rules'!$B$19)))+IF(L212="是",'Scoring Rules'!$B$22,0)+MIN(J212*'Scoring Rules'!$B$23,'Scoring Rules'!$B$24)+IF(M212="是",'Scoring Rules'!$B$25,0)+MIN((IF(K212="",0,LEN(K212)-LEN(SUBSTITUTE(K212,";",""))+1))*'Scoring Rules'!$B$26,'Scoring Rules'!$B$27)+IF(N212="是",'Scoring Rules'!$B$28,0)+IF(O212="是",'Scoring Rules'!$B$29,0)+IF(P212="是",'Scoring Rules'!$B$30,0)+IF(Q212="是",'Scoring Rules'!$B$31,0)+IF(R212="是",'Scoring Rules'!$B$32,0)+IF(S212&gt;=8000,'Scoring Rules'!$B$35,IF(S212&gt;=4000,'Scoring Rules'!$B$36,IF(S212&gt;=2000,'Scoring Rules'!$B$37,'Scoring Rules'!$B$38))))</f>
        <v/>
      </c>
      <c r="F212" s="15" t="inlineStr">
        <is>
          <t>Standard</t>
        </is>
      </c>
      <c r="G212" s="15" t="inlineStr">
        <is>
          <t>Associate</t>
        </is>
      </c>
      <c r="H212" s="15" t="n">
        <v>8</v>
      </c>
      <c r="I212" s="15" t="n">
        <v>4</v>
      </c>
      <c r="J212" s="15" t="n">
        <v>18</v>
      </c>
      <c r="K212" s="15" t="str"/>
      <c r="L212" s="15" t="inlineStr">
        <is>
          <t>是</t>
        </is>
      </c>
      <c r="M212" s="15" t="inlineStr">
        <is>
          <t>是</t>
        </is>
      </c>
      <c r="N212" s="15" t="str"/>
      <c r="O212" s="15" t="str"/>
      <c r="P212" s="15" t="str"/>
      <c r="Q212" s="15" t="str"/>
      <c r="R212" s="15" t="str"/>
      <c r="S212" s="15" t="n">
        <v>4132</v>
      </c>
      <c r="T212" s="15" t="inlineStr">
        <is>
          <t>Frontend; Backend/API; Data/Database; Cloud/DevOps; Testing/Automation</t>
        </is>
      </c>
      <c r="U212" s="15" t="inlineStr">
        <is>
          <t>Technology; Education/Research</t>
        </is>
      </c>
      <c r="V212" s="15" t="inlineStr">
        <is>
          <t>C:\Workspace\java\scrape_indeed\soft_dav_part_1\2966.html#22968</t>
        </is>
      </c>
    </row>
    <row r="213">
      <c r="A213" s="2">
        <f>IF(COUNTIF('Sample 20'!$B$2:$B$21,B213)&gt;0,"是","")</f>
        <v/>
      </c>
      <c r="B213" s="2" t="inlineStr">
        <is>
          <t>22550</t>
        </is>
      </c>
      <c r="C213" s="15" t="inlineStr">
        <is>
          <t>Software Developer</t>
        </is>
      </c>
      <c r="D213" s="15">
        <f>IF(E213&gt;='Scoring Rules'!$B$3,"强",IF(E213&gt;='Scoring Rules'!$B$4,"中","弱"))</f>
        <v/>
      </c>
      <c r="E213" s="125">
        <f>MIN(100,H213+IF(I213&gt;=5,'Scoring Rules'!$B$16,IF(I213&gt;=3,'Scoring Rules'!$B$17,IF(I213&gt;=1,'Scoring Rules'!$B$18,'Scoring Rules'!$B$19)))+IF(L213="是",'Scoring Rules'!$B$22,0)+MIN(J213*'Scoring Rules'!$B$23,'Scoring Rules'!$B$24)+IF(M213="是",'Scoring Rules'!$B$25,0)+MIN((IF(K213="",0,LEN(K213)-LEN(SUBSTITUTE(K213,";",""))+1))*'Scoring Rules'!$B$26,'Scoring Rules'!$B$27)+IF(N213="是",'Scoring Rules'!$B$28,0)+IF(O213="是",'Scoring Rules'!$B$29,0)+IF(P213="是",'Scoring Rules'!$B$30,0)+IF(Q213="是",'Scoring Rules'!$B$31,0)+IF(R213="是",'Scoring Rules'!$B$32,0)+IF(S213&gt;=8000,'Scoring Rules'!$B$35,IF(S213&gt;=4000,'Scoring Rules'!$B$36,IF(S213&gt;=2000,'Scoring Rules'!$B$37,'Scoring Rules'!$B$38))))</f>
        <v/>
      </c>
      <c r="F213" s="15" t="inlineStr">
        <is>
          <t>Standard</t>
        </is>
      </c>
      <c r="G213" s="15" t="inlineStr">
        <is>
          <t>Bachelor</t>
        </is>
      </c>
      <c r="H213" s="15" t="n">
        <v>12</v>
      </c>
      <c r="I213" s="15" t="n">
        <v>3</v>
      </c>
      <c r="J213" s="15" t="n">
        <v>15</v>
      </c>
      <c r="K213" s="15" t="str"/>
      <c r="L213" s="15" t="inlineStr">
        <is>
          <t>是</t>
        </is>
      </c>
      <c r="M213" s="15" t="str"/>
      <c r="N213" s="15" t="str"/>
      <c r="O213" s="15" t="inlineStr">
        <is>
          <t>是</t>
        </is>
      </c>
      <c r="P213" s="15" t="inlineStr">
        <is>
          <t>是</t>
        </is>
      </c>
      <c r="Q213" s="15" t="str"/>
      <c r="R213" s="15" t="inlineStr">
        <is>
          <t>是</t>
        </is>
      </c>
      <c r="S213" s="15" t="n">
        <v>3237</v>
      </c>
      <c r="T213" s="15" t="inlineStr">
        <is>
          <t>Frontend; Backend/API; Data/Database</t>
        </is>
      </c>
      <c r="U213" s="15" t="inlineStr">
        <is>
          <t>Technology; Education/Research</t>
        </is>
      </c>
      <c r="V213" s="15" t="inlineStr">
        <is>
          <t>C:\Workspace\java\scrape_indeed\soft_dav_part_1\297.html#22972</t>
        </is>
      </c>
    </row>
    <row r="214">
      <c r="A214" s="2">
        <f>IF(COUNTIF('Sample 20'!$B$2:$B$21,B214)&gt;0,"是","")</f>
        <v/>
      </c>
      <c r="B214" s="2" t="inlineStr">
        <is>
          <t>22552</t>
        </is>
      </c>
      <c r="C214" s="15" t="inlineStr">
        <is>
          <t>Software Developer</t>
        </is>
      </c>
      <c r="D214" s="15">
        <f>IF(E214&gt;='Scoring Rules'!$B$3,"强",IF(E214&gt;='Scoring Rules'!$B$4,"中","弱"))</f>
        <v/>
      </c>
      <c r="E214" s="125">
        <f>MIN(100,H214+IF(I214&gt;=5,'Scoring Rules'!$B$16,IF(I214&gt;=3,'Scoring Rules'!$B$17,IF(I214&gt;=1,'Scoring Rules'!$B$18,'Scoring Rules'!$B$19)))+IF(L214="是",'Scoring Rules'!$B$22,0)+MIN(J214*'Scoring Rules'!$B$23,'Scoring Rules'!$B$24)+IF(M214="是",'Scoring Rules'!$B$25,0)+MIN((IF(K214="",0,LEN(K214)-LEN(SUBSTITUTE(K214,";",""))+1))*'Scoring Rules'!$B$26,'Scoring Rules'!$B$27)+IF(N214="是",'Scoring Rules'!$B$28,0)+IF(O214="是",'Scoring Rules'!$B$29,0)+IF(P214="是",'Scoring Rules'!$B$30,0)+IF(Q214="是",'Scoring Rules'!$B$31,0)+IF(R214="是",'Scoring Rules'!$B$32,0)+IF(S214&gt;=8000,'Scoring Rules'!$B$35,IF(S214&gt;=4000,'Scoring Rules'!$B$36,IF(S214&gt;=2000,'Scoring Rules'!$B$37,'Scoring Rules'!$B$38))))</f>
        <v/>
      </c>
      <c r="F214" s="15" t="inlineStr">
        <is>
          <t>Standard</t>
        </is>
      </c>
      <c r="G214" s="15" t="inlineStr">
        <is>
          <t>Master</t>
        </is>
      </c>
      <c r="H214" s="15" t="n">
        <v>16</v>
      </c>
      <c r="I214" s="15" t="n">
        <v>4</v>
      </c>
      <c r="J214" s="15" t="n">
        <v>21</v>
      </c>
      <c r="K214" s="15" t="str"/>
      <c r="L214" s="15" t="inlineStr">
        <is>
          <t>是</t>
        </is>
      </c>
      <c r="M214" s="15" t="str"/>
      <c r="N214" s="15" t="str"/>
      <c r="O214" s="15" t="inlineStr">
        <is>
          <t>是</t>
        </is>
      </c>
      <c r="P214" s="15" t="inlineStr">
        <is>
          <t>是</t>
        </is>
      </c>
      <c r="Q214" s="15" t="str"/>
      <c r="R214" s="15" t="inlineStr">
        <is>
          <t>是</t>
        </is>
      </c>
      <c r="S214" s="15" t="n">
        <v>4952</v>
      </c>
      <c r="T214" s="15" t="inlineStr">
        <is>
          <t>Frontend; Backend/API; Mobile; Data/Database; Cloud/DevOps; Embedded/Systems; Testing/Automation</t>
        </is>
      </c>
      <c r="U214" s="15" t="inlineStr">
        <is>
          <t>Technology; Consulting; Education/Research; Retail/E-commerce</t>
        </is>
      </c>
      <c r="V214" s="15" t="inlineStr">
        <is>
          <t>C:\Workspace\java\scrape_indeed\soft_dav_part_1\2971.html#22974</t>
        </is>
      </c>
    </row>
    <row r="215">
      <c r="A215" s="2">
        <f>IF(COUNTIF('Sample 20'!$B$2:$B$21,B215)&gt;0,"是","")</f>
        <v/>
      </c>
      <c r="B215" s="2" t="inlineStr">
        <is>
          <t>22567</t>
        </is>
      </c>
      <c r="C215" s="15" t="inlineStr">
        <is>
          <t>Software Developer</t>
        </is>
      </c>
      <c r="D215" s="15">
        <f>IF(E215&gt;='Scoring Rules'!$B$3,"强",IF(E215&gt;='Scoring Rules'!$B$4,"中","弱"))</f>
        <v/>
      </c>
      <c r="E215" s="125">
        <f>MIN(100,H215+IF(I215&gt;=5,'Scoring Rules'!$B$16,IF(I215&gt;=3,'Scoring Rules'!$B$17,IF(I215&gt;=1,'Scoring Rules'!$B$18,'Scoring Rules'!$B$19)))+IF(L215="是",'Scoring Rules'!$B$22,0)+MIN(J215*'Scoring Rules'!$B$23,'Scoring Rules'!$B$24)+IF(M215="是",'Scoring Rules'!$B$25,0)+MIN((IF(K215="",0,LEN(K215)-LEN(SUBSTITUTE(K215,";",""))+1))*'Scoring Rules'!$B$26,'Scoring Rules'!$B$27)+IF(N215="是",'Scoring Rules'!$B$28,0)+IF(O215="是",'Scoring Rules'!$B$29,0)+IF(P215="是",'Scoring Rules'!$B$30,0)+IF(Q215="是",'Scoring Rules'!$B$31,0)+IF(R215="是",'Scoring Rules'!$B$32,0)+IF(S215&gt;=8000,'Scoring Rules'!$B$35,IF(S215&gt;=4000,'Scoring Rules'!$B$36,IF(S215&gt;=2000,'Scoring Rules'!$B$37,'Scoring Rules'!$B$38))))</f>
        <v/>
      </c>
      <c r="F215" s="15" t="inlineStr">
        <is>
          <t>Standard</t>
        </is>
      </c>
      <c r="G215" s="15" t="inlineStr">
        <is>
          <t>Associate</t>
        </is>
      </c>
      <c r="H215" s="15" t="n">
        <v>8</v>
      </c>
      <c r="I215" s="15" t="n">
        <v>4</v>
      </c>
      <c r="J215" s="15" t="n">
        <v>9</v>
      </c>
      <c r="K215" s="15" t="str"/>
      <c r="L215" s="15" t="inlineStr">
        <is>
          <t>是</t>
        </is>
      </c>
      <c r="M215" s="15" t="str"/>
      <c r="N215" s="15" t="str"/>
      <c r="O215" s="15" t="str"/>
      <c r="P215" s="15" t="str"/>
      <c r="Q215" s="15" t="str"/>
      <c r="R215" s="15" t="inlineStr">
        <is>
          <t>是</t>
        </is>
      </c>
      <c r="S215" s="15" t="n">
        <v>2705</v>
      </c>
      <c r="T215" s="15" t="inlineStr">
        <is>
          <t>Frontend; Backend/API; Data/Database; Cloud/DevOps; Testing/Automation</t>
        </is>
      </c>
      <c r="U215" s="15" t="inlineStr">
        <is>
          <t>Technology; Education/Research</t>
        </is>
      </c>
      <c r="V215" s="15" t="inlineStr">
        <is>
          <t>C:\Workspace\java\scrape_indeed\soft_dav_part_1\2985.html#22989</t>
        </is>
      </c>
    </row>
    <row r="216">
      <c r="A216" s="2">
        <f>IF(COUNTIF('Sample 20'!$B$2:$B$21,B216)&gt;0,"是","")</f>
        <v/>
      </c>
      <c r="B216" s="2" t="inlineStr">
        <is>
          <t>22575</t>
        </is>
      </c>
      <c r="C216" s="15" t="inlineStr">
        <is>
          <t>Software Developer</t>
        </is>
      </c>
      <c r="D216" s="15">
        <f>IF(E216&gt;='Scoring Rules'!$B$3,"强",IF(E216&gt;='Scoring Rules'!$B$4,"中","弱"))</f>
        <v/>
      </c>
      <c r="E216" s="125">
        <f>MIN(100,H216+IF(I216&gt;=5,'Scoring Rules'!$B$16,IF(I216&gt;=3,'Scoring Rules'!$B$17,IF(I216&gt;=1,'Scoring Rules'!$B$18,'Scoring Rules'!$B$19)))+IF(L216="是",'Scoring Rules'!$B$22,0)+MIN(J216*'Scoring Rules'!$B$23,'Scoring Rules'!$B$24)+IF(M216="是",'Scoring Rules'!$B$25,0)+MIN((IF(K216="",0,LEN(K216)-LEN(SUBSTITUTE(K216,";",""))+1))*'Scoring Rules'!$B$26,'Scoring Rules'!$B$27)+IF(N216="是",'Scoring Rules'!$B$28,0)+IF(O216="是",'Scoring Rules'!$B$29,0)+IF(P216="是",'Scoring Rules'!$B$30,0)+IF(Q216="是",'Scoring Rules'!$B$31,0)+IF(R216="是",'Scoring Rules'!$B$32,0)+IF(S216&gt;=8000,'Scoring Rules'!$B$35,IF(S216&gt;=4000,'Scoring Rules'!$B$36,IF(S216&gt;=2000,'Scoring Rules'!$B$37,'Scoring Rules'!$B$38))))</f>
        <v/>
      </c>
      <c r="F216" s="15" t="inlineStr">
        <is>
          <t>Standard</t>
        </is>
      </c>
      <c r="G216" s="15" t="inlineStr">
        <is>
          <t>Bachelor</t>
        </is>
      </c>
      <c r="H216" s="15" t="n">
        <v>12</v>
      </c>
      <c r="I216" s="15" t="n">
        <v>2</v>
      </c>
      <c r="J216" s="15" t="n">
        <v>11</v>
      </c>
      <c r="K216" s="15" t="str"/>
      <c r="L216" s="15" t="inlineStr">
        <is>
          <t>是</t>
        </is>
      </c>
      <c r="M216" s="15" t="inlineStr">
        <is>
          <t>是</t>
        </is>
      </c>
      <c r="N216" s="15" t="inlineStr">
        <is>
          <t>是</t>
        </is>
      </c>
      <c r="O216" s="15" t="str"/>
      <c r="P216" s="15" t="inlineStr">
        <is>
          <t>是</t>
        </is>
      </c>
      <c r="Q216" s="15" t="str"/>
      <c r="R216" s="15" t="str"/>
      <c r="S216" s="15" t="n">
        <v>2780</v>
      </c>
      <c r="T216" s="15" t="inlineStr">
        <is>
          <t>Frontend; Backend/API; Data/Database</t>
        </is>
      </c>
      <c r="U216" s="15" t="inlineStr">
        <is>
          <t>Technology; Education/Research</t>
        </is>
      </c>
      <c r="V216" s="15" t="inlineStr">
        <is>
          <t>C:\Workspace\java\scrape_indeed\soft_dav_part_1\2992.html#22997</t>
        </is>
      </c>
    </row>
    <row r="217">
      <c r="A217" s="2">
        <f>IF(COUNTIF('Sample 20'!$B$2:$B$21,B217)&gt;0,"是","")</f>
        <v/>
      </c>
      <c r="B217" s="2" t="inlineStr">
        <is>
          <t>22583</t>
        </is>
      </c>
      <c r="C217" s="15" t="inlineStr">
        <is>
          <t>Software Developer</t>
        </is>
      </c>
      <c r="D217" s="15">
        <f>IF(E217&gt;='Scoring Rules'!$B$3,"强",IF(E217&gt;='Scoring Rules'!$B$4,"中","弱"))</f>
        <v/>
      </c>
      <c r="E217" s="125">
        <f>MIN(100,H217+IF(I217&gt;=5,'Scoring Rules'!$B$16,IF(I217&gt;=3,'Scoring Rules'!$B$17,IF(I217&gt;=1,'Scoring Rules'!$B$18,'Scoring Rules'!$B$19)))+IF(L217="是",'Scoring Rules'!$B$22,0)+MIN(J217*'Scoring Rules'!$B$23,'Scoring Rules'!$B$24)+IF(M217="是",'Scoring Rules'!$B$25,0)+MIN((IF(K217="",0,LEN(K217)-LEN(SUBSTITUTE(K217,";",""))+1))*'Scoring Rules'!$B$26,'Scoring Rules'!$B$27)+IF(N217="是",'Scoring Rules'!$B$28,0)+IF(O217="是",'Scoring Rules'!$B$29,0)+IF(P217="是",'Scoring Rules'!$B$30,0)+IF(Q217="是",'Scoring Rules'!$B$31,0)+IF(R217="是",'Scoring Rules'!$B$32,0)+IF(S217&gt;=8000,'Scoring Rules'!$B$35,IF(S217&gt;=4000,'Scoring Rules'!$B$36,IF(S217&gt;=2000,'Scoring Rules'!$B$37,'Scoring Rules'!$B$38))))</f>
        <v/>
      </c>
      <c r="F217" s="15" t="inlineStr">
        <is>
          <t>Standard</t>
        </is>
      </c>
      <c r="G217" s="15" t="inlineStr">
        <is>
          <t>Master</t>
        </is>
      </c>
      <c r="H217" s="15" t="n">
        <v>16</v>
      </c>
      <c r="I217" s="15" t="n">
        <v>3</v>
      </c>
      <c r="J217" s="15" t="n">
        <v>21</v>
      </c>
      <c r="K217" s="15" t="str"/>
      <c r="L217" s="15" t="inlineStr">
        <is>
          <t>是</t>
        </is>
      </c>
      <c r="M217" s="15" t="str"/>
      <c r="N217" s="15" t="str"/>
      <c r="O217" s="15" t="str"/>
      <c r="P217" s="15" t="inlineStr">
        <is>
          <t>是</t>
        </is>
      </c>
      <c r="Q217" s="15" t="inlineStr">
        <is>
          <t>是</t>
        </is>
      </c>
      <c r="R217" s="15" t="inlineStr">
        <is>
          <t>是</t>
        </is>
      </c>
      <c r="S217" s="15" t="n">
        <v>4045</v>
      </c>
      <c r="T217" s="15" t="inlineStr">
        <is>
          <t>Frontend; Backend/API; Data/Database; Testing/Automation</t>
        </is>
      </c>
      <c r="U217" s="15" t="inlineStr">
        <is>
          <t>Finance/Banking; Technology; Consulting; Education/Research; Manufacturing/Automotive</t>
        </is>
      </c>
      <c r="V217" s="15" t="inlineStr">
        <is>
          <t>C:\Workspace\java\scrape_indeed\soft_dav_part_1\3.html#23005</t>
        </is>
      </c>
    </row>
    <row r="218">
      <c r="A218" s="2">
        <f>IF(COUNTIF('Sample 20'!$B$2:$B$21,B218)&gt;0,"是","")</f>
        <v/>
      </c>
      <c r="B218" s="2" t="inlineStr">
        <is>
          <t>22589</t>
        </is>
      </c>
      <c r="C218" s="15" t="inlineStr">
        <is>
          <t>Software Developer</t>
        </is>
      </c>
      <c r="D218" s="15">
        <f>IF(E218&gt;='Scoring Rules'!$B$3,"强",IF(E218&gt;='Scoring Rules'!$B$4,"中","弱"))</f>
        <v/>
      </c>
      <c r="E218" s="125">
        <f>MIN(100,H218+IF(I218&gt;=5,'Scoring Rules'!$B$16,IF(I218&gt;=3,'Scoring Rules'!$B$17,IF(I218&gt;=1,'Scoring Rules'!$B$18,'Scoring Rules'!$B$19)))+IF(L218="是",'Scoring Rules'!$B$22,0)+MIN(J218*'Scoring Rules'!$B$23,'Scoring Rules'!$B$24)+IF(M218="是",'Scoring Rules'!$B$25,0)+MIN((IF(K218="",0,LEN(K218)-LEN(SUBSTITUTE(K218,";",""))+1))*'Scoring Rules'!$B$26,'Scoring Rules'!$B$27)+IF(N218="是",'Scoring Rules'!$B$28,0)+IF(O218="是",'Scoring Rules'!$B$29,0)+IF(P218="是",'Scoring Rules'!$B$30,0)+IF(Q218="是",'Scoring Rules'!$B$31,0)+IF(R218="是",'Scoring Rules'!$B$32,0)+IF(S218&gt;=8000,'Scoring Rules'!$B$35,IF(S218&gt;=4000,'Scoring Rules'!$B$36,IF(S218&gt;=2000,'Scoring Rules'!$B$37,'Scoring Rules'!$B$38))))</f>
        <v/>
      </c>
      <c r="F218" s="15" t="inlineStr">
        <is>
          <t>Standard</t>
        </is>
      </c>
      <c r="G218" s="15" t="inlineStr">
        <is>
          <t>Bachelor</t>
        </is>
      </c>
      <c r="H218" s="15" t="n">
        <v>12</v>
      </c>
      <c r="I218" s="15" t="n">
        <v>6</v>
      </c>
      <c r="J218" s="15" t="n">
        <v>15</v>
      </c>
      <c r="K218" s="15" t="str"/>
      <c r="L218" s="15" t="str"/>
      <c r="M218" s="15" t="str"/>
      <c r="N218" s="15" t="str"/>
      <c r="O218" s="15" t="str"/>
      <c r="P218" s="15" t="str"/>
      <c r="Q218" s="15" t="inlineStr">
        <is>
          <t>是</t>
        </is>
      </c>
      <c r="R218" s="15" t="inlineStr">
        <is>
          <t>是</t>
        </is>
      </c>
      <c r="S218" s="15" t="n">
        <v>4032</v>
      </c>
      <c r="T218" s="15" t="inlineStr">
        <is>
          <t>Frontend; Backend/API; Data/Database; Cloud/DevOps</t>
        </is>
      </c>
      <c r="U218" s="15" t="inlineStr">
        <is>
          <t>Technology; Education/Research</t>
        </is>
      </c>
      <c r="V218" s="15" t="inlineStr">
        <is>
          <t>C:\Workspace\java\scrape_indeed\soft_dav_part_1\3003.html#23011</t>
        </is>
      </c>
    </row>
    <row r="219">
      <c r="A219" s="2">
        <f>IF(COUNTIF('Sample 20'!$B$2:$B$21,B219)&gt;0,"是","")</f>
        <v/>
      </c>
      <c r="B219" s="2" t="inlineStr">
        <is>
          <t>22592</t>
        </is>
      </c>
      <c r="C219" s="15" t="inlineStr">
        <is>
          <t>Software Developer</t>
        </is>
      </c>
      <c r="D219" s="15">
        <f>IF(E219&gt;='Scoring Rules'!$B$3,"强",IF(E219&gt;='Scoring Rules'!$B$4,"中","弱"))</f>
        <v/>
      </c>
      <c r="E219" s="125">
        <f>MIN(100,H219+IF(I219&gt;=5,'Scoring Rules'!$B$16,IF(I219&gt;=3,'Scoring Rules'!$B$17,IF(I219&gt;=1,'Scoring Rules'!$B$18,'Scoring Rules'!$B$19)))+IF(L219="是",'Scoring Rules'!$B$22,0)+MIN(J219*'Scoring Rules'!$B$23,'Scoring Rules'!$B$24)+IF(M219="是",'Scoring Rules'!$B$25,0)+MIN((IF(K219="",0,LEN(K219)-LEN(SUBSTITUTE(K219,";",""))+1))*'Scoring Rules'!$B$26,'Scoring Rules'!$B$27)+IF(N219="是",'Scoring Rules'!$B$28,0)+IF(O219="是",'Scoring Rules'!$B$29,0)+IF(P219="是",'Scoring Rules'!$B$30,0)+IF(Q219="是",'Scoring Rules'!$B$31,0)+IF(R219="是",'Scoring Rules'!$B$32,0)+IF(S219&gt;=8000,'Scoring Rules'!$B$35,IF(S219&gt;=4000,'Scoring Rules'!$B$36,IF(S219&gt;=2000,'Scoring Rules'!$B$37,'Scoring Rules'!$B$38))))</f>
        <v/>
      </c>
      <c r="F219" s="15" t="inlineStr">
        <is>
          <t>Standard</t>
        </is>
      </c>
      <c r="G219" s="15" t="inlineStr">
        <is>
          <t>Unspecified</t>
        </is>
      </c>
      <c r="H219" s="15" t="n">
        <v>2</v>
      </c>
      <c r="I219" s="15" t="n">
        <v>3</v>
      </c>
      <c r="J219" s="15" t="n">
        <v>8</v>
      </c>
      <c r="K219" s="15" t="str"/>
      <c r="L219" s="15" t="inlineStr">
        <is>
          <t>是</t>
        </is>
      </c>
      <c r="M219" s="15" t="str"/>
      <c r="N219" s="15" t="str"/>
      <c r="O219" s="15" t="str"/>
      <c r="P219" s="15" t="str"/>
      <c r="Q219" s="15" t="inlineStr">
        <is>
          <t>是</t>
        </is>
      </c>
      <c r="R219" s="15" t="inlineStr">
        <is>
          <t>是</t>
        </is>
      </c>
      <c r="S219" s="15" t="n">
        <v>1746</v>
      </c>
      <c r="T219" s="15" t="inlineStr">
        <is>
          <t>Backend/API; Data/Database</t>
        </is>
      </c>
      <c r="U219" s="15" t="inlineStr">
        <is>
          <t>Technology; Telecom; Education/Research</t>
        </is>
      </c>
      <c r="V219" s="15" t="inlineStr">
        <is>
          <t>C:\Workspace\java\scrape_indeed\soft_dav_part_1\3006.html#23014</t>
        </is>
      </c>
    </row>
    <row r="220">
      <c r="A220" s="2">
        <f>IF(COUNTIF('Sample 20'!$B$2:$B$21,B220)&gt;0,"是","")</f>
        <v/>
      </c>
      <c r="B220" s="2" t="inlineStr">
        <is>
          <t>22593</t>
        </is>
      </c>
      <c r="C220" s="15" t="inlineStr">
        <is>
          <t>Software Developer</t>
        </is>
      </c>
      <c r="D220" s="15">
        <f>IF(E220&gt;='Scoring Rules'!$B$3,"强",IF(E220&gt;='Scoring Rules'!$B$4,"中","弱"))</f>
        <v/>
      </c>
      <c r="E220" s="125">
        <f>MIN(100,H220+IF(I220&gt;=5,'Scoring Rules'!$B$16,IF(I220&gt;=3,'Scoring Rules'!$B$17,IF(I220&gt;=1,'Scoring Rules'!$B$18,'Scoring Rules'!$B$19)))+IF(L220="是",'Scoring Rules'!$B$22,0)+MIN(J220*'Scoring Rules'!$B$23,'Scoring Rules'!$B$24)+IF(M220="是",'Scoring Rules'!$B$25,0)+MIN((IF(K220="",0,LEN(K220)-LEN(SUBSTITUTE(K220,";",""))+1))*'Scoring Rules'!$B$26,'Scoring Rules'!$B$27)+IF(N220="是",'Scoring Rules'!$B$28,0)+IF(O220="是",'Scoring Rules'!$B$29,0)+IF(P220="是",'Scoring Rules'!$B$30,0)+IF(Q220="是",'Scoring Rules'!$B$31,0)+IF(R220="是",'Scoring Rules'!$B$32,0)+IF(S220&gt;=8000,'Scoring Rules'!$B$35,IF(S220&gt;=4000,'Scoring Rules'!$B$36,IF(S220&gt;=2000,'Scoring Rules'!$B$37,'Scoring Rules'!$B$38))))</f>
        <v/>
      </c>
      <c r="F220" s="15" t="inlineStr">
        <is>
          <t>Standard</t>
        </is>
      </c>
      <c r="G220" s="15" t="inlineStr">
        <is>
          <t>Bachelor</t>
        </is>
      </c>
      <c r="H220" s="15" t="n">
        <v>12</v>
      </c>
      <c r="I220" s="15" t="n">
        <v>4</v>
      </c>
      <c r="J220" s="15" t="n">
        <v>15</v>
      </c>
      <c r="K220" s="15" t="str"/>
      <c r="L220" s="15" t="inlineStr">
        <is>
          <t>是</t>
        </is>
      </c>
      <c r="M220" s="15" t="str"/>
      <c r="N220" s="15" t="inlineStr">
        <is>
          <t>是</t>
        </is>
      </c>
      <c r="O220" s="15" t="str"/>
      <c r="P220" s="15" t="inlineStr">
        <is>
          <t>是</t>
        </is>
      </c>
      <c r="Q220" s="15" t="str"/>
      <c r="R220" s="15" t="inlineStr">
        <is>
          <t>是</t>
        </is>
      </c>
      <c r="S220" s="15" t="n">
        <v>3093</v>
      </c>
      <c r="T220" s="15" t="inlineStr">
        <is>
          <t>Frontend; Backend/API; Data/Database; Embedded/Systems; Testing/Automation</t>
        </is>
      </c>
      <c r="U220" s="15" t="inlineStr">
        <is>
          <t>Technology; Education/Research</t>
        </is>
      </c>
      <c r="V220" s="15" t="inlineStr">
        <is>
          <t>C:\Workspace\java\scrape_indeed\soft_dav_part_1\3007.html#23015</t>
        </is>
      </c>
    </row>
    <row r="221">
      <c r="A221" s="2">
        <f>IF(COUNTIF('Sample 20'!$B$2:$B$21,B221)&gt;0,"是","")</f>
        <v/>
      </c>
      <c r="B221" s="2" t="inlineStr">
        <is>
          <t>22601</t>
        </is>
      </c>
      <c r="C221" s="15" t="inlineStr">
        <is>
          <t>Software Developer</t>
        </is>
      </c>
      <c r="D221" s="15">
        <f>IF(E221&gt;='Scoring Rules'!$B$3,"强",IF(E221&gt;='Scoring Rules'!$B$4,"中","弱"))</f>
        <v/>
      </c>
      <c r="E221" s="125">
        <f>MIN(100,H221+IF(I221&gt;=5,'Scoring Rules'!$B$16,IF(I221&gt;=3,'Scoring Rules'!$B$17,IF(I221&gt;=1,'Scoring Rules'!$B$18,'Scoring Rules'!$B$19)))+IF(L221="是",'Scoring Rules'!$B$22,0)+MIN(J221*'Scoring Rules'!$B$23,'Scoring Rules'!$B$24)+IF(M221="是",'Scoring Rules'!$B$25,0)+MIN((IF(K221="",0,LEN(K221)-LEN(SUBSTITUTE(K221,";",""))+1))*'Scoring Rules'!$B$26,'Scoring Rules'!$B$27)+IF(N221="是",'Scoring Rules'!$B$28,0)+IF(O221="是",'Scoring Rules'!$B$29,0)+IF(P221="是",'Scoring Rules'!$B$30,0)+IF(Q221="是",'Scoring Rules'!$B$31,0)+IF(R221="是",'Scoring Rules'!$B$32,0)+IF(S221&gt;=8000,'Scoring Rules'!$B$35,IF(S221&gt;=4000,'Scoring Rules'!$B$36,IF(S221&gt;=2000,'Scoring Rules'!$B$37,'Scoring Rules'!$B$38))))</f>
        <v/>
      </c>
      <c r="F221" s="15" t="inlineStr">
        <is>
          <t>Standard</t>
        </is>
      </c>
      <c r="G221" s="15" t="inlineStr">
        <is>
          <t>Associate</t>
        </is>
      </c>
      <c r="H221" s="15" t="n">
        <v>8</v>
      </c>
      <c r="I221" s="15" t="n">
        <v>4</v>
      </c>
      <c r="J221" s="15" t="n">
        <v>10</v>
      </c>
      <c r="K221" s="15" t="str"/>
      <c r="L221" s="15" t="inlineStr">
        <is>
          <t>是</t>
        </is>
      </c>
      <c r="M221" s="15" t="str"/>
      <c r="N221" s="15" t="str"/>
      <c r="O221" s="15" t="str"/>
      <c r="P221" s="15" t="inlineStr">
        <is>
          <t>是</t>
        </is>
      </c>
      <c r="Q221" s="15" t="str"/>
      <c r="R221" s="15" t="inlineStr">
        <is>
          <t>是</t>
        </is>
      </c>
      <c r="S221" s="15" t="n">
        <v>1785</v>
      </c>
      <c r="T221" s="15" t="inlineStr">
        <is>
          <t>Frontend; Backend/API; Data/Database; Testing/Automation</t>
        </is>
      </c>
      <c r="U221" s="15" t="inlineStr">
        <is>
          <t>Technology; Education/Research</t>
        </is>
      </c>
      <c r="V221" s="15" t="inlineStr">
        <is>
          <t>C:\Workspace\java\scrape_indeed\soft_dav_part_1\3014.html#23023</t>
        </is>
      </c>
    </row>
    <row r="222">
      <c r="A222" s="2">
        <f>IF(COUNTIF('Sample 20'!$B$2:$B$21,B222)&gt;0,"是","")</f>
        <v/>
      </c>
      <c r="B222" s="2" t="inlineStr">
        <is>
          <t>22602</t>
        </is>
      </c>
      <c r="C222" s="15" t="inlineStr">
        <is>
          <t>Software Developer</t>
        </is>
      </c>
      <c r="D222" s="15">
        <f>IF(E222&gt;='Scoring Rules'!$B$3,"强",IF(E222&gt;='Scoring Rules'!$B$4,"中","弱"))</f>
        <v/>
      </c>
      <c r="E222" s="125">
        <f>MIN(100,H222+IF(I222&gt;=5,'Scoring Rules'!$B$16,IF(I222&gt;=3,'Scoring Rules'!$B$17,IF(I222&gt;=1,'Scoring Rules'!$B$18,'Scoring Rules'!$B$19)))+IF(L222="是",'Scoring Rules'!$B$22,0)+MIN(J222*'Scoring Rules'!$B$23,'Scoring Rules'!$B$24)+IF(M222="是",'Scoring Rules'!$B$25,0)+MIN((IF(K222="",0,LEN(K222)-LEN(SUBSTITUTE(K222,";",""))+1))*'Scoring Rules'!$B$26,'Scoring Rules'!$B$27)+IF(N222="是",'Scoring Rules'!$B$28,0)+IF(O222="是",'Scoring Rules'!$B$29,0)+IF(P222="是",'Scoring Rules'!$B$30,0)+IF(Q222="是",'Scoring Rules'!$B$31,0)+IF(R222="是",'Scoring Rules'!$B$32,0)+IF(S222&gt;=8000,'Scoring Rules'!$B$35,IF(S222&gt;=4000,'Scoring Rules'!$B$36,IF(S222&gt;=2000,'Scoring Rules'!$B$37,'Scoring Rules'!$B$38))))</f>
        <v/>
      </c>
      <c r="F222" s="15" t="inlineStr">
        <is>
          <t>Standard</t>
        </is>
      </c>
      <c r="G222" s="15" t="inlineStr">
        <is>
          <t>Bachelor</t>
        </is>
      </c>
      <c r="H222" s="15" t="n">
        <v>12</v>
      </c>
      <c r="I222" s="15" t="n">
        <v>2</v>
      </c>
      <c r="J222" s="15" t="n">
        <v>17</v>
      </c>
      <c r="K222" s="15" t="str"/>
      <c r="L222" s="15" t="inlineStr">
        <is>
          <t>是</t>
        </is>
      </c>
      <c r="M222" s="15" t="str"/>
      <c r="N222" s="15" t="str"/>
      <c r="O222" s="15" t="str"/>
      <c r="P222" s="15" t="str"/>
      <c r="Q222" s="15" t="str"/>
      <c r="R222" s="15" t="inlineStr">
        <is>
          <t>是</t>
        </is>
      </c>
      <c r="S222" s="15" t="n">
        <v>2647</v>
      </c>
      <c r="T222" s="15" t="inlineStr">
        <is>
          <t>Frontend; Backend/API; Data/Database; Embedded/Systems; Testing/Automation</t>
        </is>
      </c>
      <c r="U222" s="15" t="inlineStr">
        <is>
          <t>Technology; Education/Research</t>
        </is>
      </c>
      <c r="V222" s="15" t="inlineStr">
        <is>
          <t>C:\Workspace\java\scrape_indeed\soft_dav_part_1\3015.html#23024</t>
        </is>
      </c>
    </row>
    <row r="223">
      <c r="A223" s="2">
        <f>IF(COUNTIF('Sample 20'!$B$2:$B$21,B223)&gt;0,"是","")</f>
        <v/>
      </c>
      <c r="B223" s="2" t="inlineStr">
        <is>
          <t>22612</t>
        </is>
      </c>
      <c r="C223" s="15" t="inlineStr">
        <is>
          <t>Software Developer</t>
        </is>
      </c>
      <c r="D223" s="15">
        <f>IF(E223&gt;='Scoring Rules'!$B$3,"强",IF(E223&gt;='Scoring Rules'!$B$4,"中","弱"))</f>
        <v/>
      </c>
      <c r="E223" s="125">
        <f>MIN(100,H223+IF(I223&gt;=5,'Scoring Rules'!$B$16,IF(I223&gt;=3,'Scoring Rules'!$B$17,IF(I223&gt;=1,'Scoring Rules'!$B$18,'Scoring Rules'!$B$19)))+IF(L223="是",'Scoring Rules'!$B$22,0)+MIN(J223*'Scoring Rules'!$B$23,'Scoring Rules'!$B$24)+IF(M223="是",'Scoring Rules'!$B$25,0)+MIN((IF(K223="",0,LEN(K223)-LEN(SUBSTITUTE(K223,";",""))+1))*'Scoring Rules'!$B$26,'Scoring Rules'!$B$27)+IF(N223="是",'Scoring Rules'!$B$28,0)+IF(O223="是",'Scoring Rules'!$B$29,0)+IF(P223="是",'Scoring Rules'!$B$30,0)+IF(Q223="是",'Scoring Rules'!$B$31,0)+IF(R223="是",'Scoring Rules'!$B$32,0)+IF(S223&gt;=8000,'Scoring Rules'!$B$35,IF(S223&gt;=4000,'Scoring Rules'!$B$36,IF(S223&gt;=2000,'Scoring Rules'!$B$37,'Scoring Rules'!$B$38))))</f>
        <v/>
      </c>
      <c r="F223" s="15" t="inlineStr">
        <is>
          <t>Standard</t>
        </is>
      </c>
      <c r="G223" s="15" t="inlineStr">
        <is>
          <t>Master</t>
        </is>
      </c>
      <c r="H223" s="15" t="n">
        <v>16</v>
      </c>
      <c r="I223" s="15" t="n">
        <v>5</v>
      </c>
      <c r="J223" s="15" t="n">
        <v>23</v>
      </c>
      <c r="K223" s="15" t="str"/>
      <c r="L223" s="15" t="inlineStr">
        <is>
          <t>是</t>
        </is>
      </c>
      <c r="M223" s="15" t="str"/>
      <c r="N223" s="15" t="str"/>
      <c r="O223" s="15" t="str"/>
      <c r="P223" s="15" t="str"/>
      <c r="Q223" s="15" t="str"/>
      <c r="R223" s="15" t="inlineStr">
        <is>
          <t>是</t>
        </is>
      </c>
      <c r="S223" s="15" t="n">
        <v>12335</v>
      </c>
      <c r="T223" s="15" t="inlineStr">
        <is>
          <t>Frontend; Backend/API; Mobile; Data/Database; Cloud/DevOps; Testing/Automation</t>
        </is>
      </c>
      <c r="U223" s="15" t="inlineStr">
        <is>
          <t>Government/Defense; Technology; Consulting; Telecom; Education/Research</t>
        </is>
      </c>
      <c r="V223" s="15" t="inlineStr">
        <is>
          <t>C:\Workspace\java\scrape_indeed\soft_dav_part_1\3024.html#23034</t>
        </is>
      </c>
    </row>
    <row r="224">
      <c r="A224" s="2">
        <f>IF(COUNTIF('Sample 20'!$B$2:$B$21,B224)&gt;0,"是","")</f>
        <v/>
      </c>
      <c r="B224" s="2" t="inlineStr">
        <is>
          <t>22620</t>
        </is>
      </c>
      <c r="C224" s="15" t="inlineStr">
        <is>
          <t>Software Developer</t>
        </is>
      </c>
      <c r="D224" s="15">
        <f>IF(E224&gt;='Scoring Rules'!$B$3,"强",IF(E224&gt;='Scoring Rules'!$B$4,"中","弱"))</f>
        <v/>
      </c>
      <c r="E224" s="125">
        <f>MIN(100,H224+IF(I224&gt;=5,'Scoring Rules'!$B$16,IF(I224&gt;=3,'Scoring Rules'!$B$17,IF(I224&gt;=1,'Scoring Rules'!$B$18,'Scoring Rules'!$B$19)))+IF(L224="是",'Scoring Rules'!$B$22,0)+MIN(J224*'Scoring Rules'!$B$23,'Scoring Rules'!$B$24)+IF(M224="是",'Scoring Rules'!$B$25,0)+MIN((IF(K224="",0,LEN(K224)-LEN(SUBSTITUTE(K224,";",""))+1))*'Scoring Rules'!$B$26,'Scoring Rules'!$B$27)+IF(N224="是",'Scoring Rules'!$B$28,0)+IF(O224="是",'Scoring Rules'!$B$29,0)+IF(P224="是",'Scoring Rules'!$B$30,0)+IF(Q224="是",'Scoring Rules'!$B$31,0)+IF(R224="是",'Scoring Rules'!$B$32,0)+IF(S224&gt;=8000,'Scoring Rules'!$B$35,IF(S224&gt;=4000,'Scoring Rules'!$B$36,IF(S224&gt;=2000,'Scoring Rules'!$B$37,'Scoring Rules'!$B$38))))</f>
        <v/>
      </c>
      <c r="F224" s="15" t="inlineStr">
        <is>
          <t>Standard</t>
        </is>
      </c>
      <c r="G224" s="15" t="inlineStr">
        <is>
          <t>Bachelor</t>
        </is>
      </c>
      <c r="H224" s="15" t="n">
        <v>12</v>
      </c>
      <c r="I224" s="15" t="n">
        <v>2</v>
      </c>
      <c r="J224" s="15" t="n">
        <v>14</v>
      </c>
      <c r="K224" s="15" t="str"/>
      <c r="L224" s="15" t="inlineStr">
        <is>
          <t>是</t>
        </is>
      </c>
      <c r="M224" s="15" t="str"/>
      <c r="N224" s="15" t="str"/>
      <c r="O224" s="15" t="str"/>
      <c r="P224" s="15" t="str"/>
      <c r="Q224" s="15" t="str"/>
      <c r="R224" s="15" t="str"/>
      <c r="S224" s="15" t="n">
        <v>2348</v>
      </c>
      <c r="T224" s="15" t="inlineStr">
        <is>
          <t>Frontend; Backend/API; Data/Database; Cloud/DevOps; Testing/Automation</t>
        </is>
      </c>
      <c r="U224" s="15" t="inlineStr">
        <is>
          <t>Technology; Education/Research</t>
        </is>
      </c>
      <c r="V224" s="15" t="inlineStr">
        <is>
          <t>C:\Workspace\java\scrape_indeed\soft_dav_part_1\3031.html#23042</t>
        </is>
      </c>
    </row>
    <row r="225">
      <c r="A225" s="2">
        <f>IF(COUNTIF('Sample 20'!$B$2:$B$21,B225)&gt;0,"是","")</f>
        <v/>
      </c>
      <c r="B225" s="2" t="inlineStr">
        <is>
          <t>22621</t>
        </is>
      </c>
      <c r="C225" s="15" t="inlineStr">
        <is>
          <t>Software Developer</t>
        </is>
      </c>
      <c r="D225" s="15">
        <f>IF(E225&gt;='Scoring Rules'!$B$3,"强",IF(E225&gt;='Scoring Rules'!$B$4,"中","弱"))</f>
        <v/>
      </c>
      <c r="E225" s="125">
        <f>MIN(100,H225+IF(I225&gt;=5,'Scoring Rules'!$B$16,IF(I225&gt;=3,'Scoring Rules'!$B$17,IF(I225&gt;=1,'Scoring Rules'!$B$18,'Scoring Rules'!$B$19)))+IF(L225="是",'Scoring Rules'!$B$22,0)+MIN(J225*'Scoring Rules'!$B$23,'Scoring Rules'!$B$24)+IF(M225="是",'Scoring Rules'!$B$25,0)+MIN((IF(K225="",0,LEN(K225)-LEN(SUBSTITUTE(K225,";",""))+1))*'Scoring Rules'!$B$26,'Scoring Rules'!$B$27)+IF(N225="是",'Scoring Rules'!$B$28,0)+IF(O225="是",'Scoring Rules'!$B$29,0)+IF(P225="是",'Scoring Rules'!$B$30,0)+IF(Q225="是",'Scoring Rules'!$B$31,0)+IF(R225="是",'Scoring Rules'!$B$32,0)+IF(S225&gt;=8000,'Scoring Rules'!$B$35,IF(S225&gt;=4000,'Scoring Rules'!$B$36,IF(S225&gt;=2000,'Scoring Rules'!$B$37,'Scoring Rules'!$B$38))))</f>
        <v/>
      </c>
      <c r="F225" s="15" t="inlineStr">
        <is>
          <t>Standard</t>
        </is>
      </c>
      <c r="G225" s="15" t="inlineStr">
        <is>
          <t>Master</t>
        </is>
      </c>
      <c r="H225" s="15" t="n">
        <v>16</v>
      </c>
      <c r="I225" s="15" t="n">
        <v>2</v>
      </c>
      <c r="J225" s="15" t="n">
        <v>16</v>
      </c>
      <c r="K225" s="15" t="str"/>
      <c r="L225" s="15" t="inlineStr">
        <is>
          <t>是</t>
        </is>
      </c>
      <c r="M225" s="15" t="inlineStr">
        <is>
          <t>是</t>
        </is>
      </c>
      <c r="N225" s="15" t="inlineStr">
        <is>
          <t>是</t>
        </is>
      </c>
      <c r="O225" s="15" t="inlineStr">
        <is>
          <t>是</t>
        </is>
      </c>
      <c r="P225" s="15" t="inlineStr">
        <is>
          <t>是</t>
        </is>
      </c>
      <c r="Q225" s="15" t="inlineStr">
        <is>
          <t>是</t>
        </is>
      </c>
      <c r="R225" s="15" t="inlineStr">
        <is>
          <t>是</t>
        </is>
      </c>
      <c r="S225" s="15" t="n">
        <v>2363</v>
      </c>
      <c r="T225" s="15" t="inlineStr">
        <is>
          <t>Frontend; Backend/API; Mobile; Cloud/DevOps</t>
        </is>
      </c>
      <c r="U225" s="15" t="inlineStr">
        <is>
          <t>Technology; Education/Research</t>
        </is>
      </c>
      <c r="V225" s="15" t="inlineStr">
        <is>
          <t>C:\Workspace\java\scrape_indeed\soft_dav_part_1\3032.html#23043</t>
        </is>
      </c>
    </row>
    <row r="226">
      <c r="A226" s="2">
        <f>IF(COUNTIF('Sample 20'!$B$2:$B$21,B226)&gt;0,"是","")</f>
        <v/>
      </c>
      <c r="B226" s="2" t="inlineStr">
        <is>
          <t>22624</t>
        </is>
      </c>
      <c r="C226" s="15" t="inlineStr">
        <is>
          <t>SOFTWARE DEVELOPER</t>
        </is>
      </c>
      <c r="D226" s="15">
        <f>IF(E226&gt;='Scoring Rules'!$B$3,"强",IF(E226&gt;='Scoring Rules'!$B$4,"中","弱"))</f>
        <v/>
      </c>
      <c r="E226" s="125">
        <f>MIN(100,H226+IF(I226&gt;=5,'Scoring Rules'!$B$16,IF(I226&gt;=3,'Scoring Rules'!$B$17,IF(I226&gt;=1,'Scoring Rules'!$B$18,'Scoring Rules'!$B$19)))+IF(L226="是",'Scoring Rules'!$B$22,0)+MIN(J226*'Scoring Rules'!$B$23,'Scoring Rules'!$B$24)+IF(M226="是",'Scoring Rules'!$B$25,0)+MIN((IF(K226="",0,LEN(K226)-LEN(SUBSTITUTE(K226,";",""))+1))*'Scoring Rules'!$B$26,'Scoring Rules'!$B$27)+IF(N226="是",'Scoring Rules'!$B$28,0)+IF(O226="是",'Scoring Rules'!$B$29,0)+IF(P226="是",'Scoring Rules'!$B$30,0)+IF(Q226="是",'Scoring Rules'!$B$31,0)+IF(R226="是",'Scoring Rules'!$B$32,0)+IF(S226&gt;=8000,'Scoring Rules'!$B$35,IF(S226&gt;=4000,'Scoring Rules'!$B$36,IF(S226&gt;=2000,'Scoring Rules'!$B$37,'Scoring Rules'!$B$38))))</f>
        <v/>
      </c>
      <c r="F226" s="15" t="inlineStr">
        <is>
          <t>Standard</t>
        </is>
      </c>
      <c r="G226" s="15" t="inlineStr">
        <is>
          <t>Bachelor</t>
        </is>
      </c>
      <c r="H226" s="15" t="n">
        <v>12</v>
      </c>
      <c r="I226" s="15" t="n">
        <v>2</v>
      </c>
      <c r="J226" s="15" t="n">
        <v>10</v>
      </c>
      <c r="K226" s="15" t="str"/>
      <c r="L226" s="15" t="inlineStr">
        <is>
          <t>是</t>
        </is>
      </c>
      <c r="M226" s="15" t="str"/>
      <c r="N226" s="15" t="str"/>
      <c r="O226" s="15" t="str"/>
      <c r="P226" s="15" t="str"/>
      <c r="Q226" s="15" t="str"/>
      <c r="R226" s="15" t="inlineStr">
        <is>
          <t>是</t>
        </is>
      </c>
      <c r="S226" s="15" t="n">
        <v>1546</v>
      </c>
      <c r="T226" s="15" t="inlineStr">
        <is>
          <t>Frontend; Backend/API; Data/Database</t>
        </is>
      </c>
      <c r="U226" s="15" t="inlineStr">
        <is>
          <t>Technology; Education/Research</t>
        </is>
      </c>
      <c r="V226" s="15" t="inlineStr">
        <is>
          <t>C:\Workspace\java\scrape_indeed\soft_dav_part_1\3035.html#23046</t>
        </is>
      </c>
    </row>
    <row r="227">
      <c r="A227" s="2">
        <f>IF(COUNTIF('Sample 20'!$B$2:$B$21,B227)&gt;0,"是","")</f>
        <v/>
      </c>
      <c r="B227" s="2" t="inlineStr">
        <is>
          <t>22651</t>
        </is>
      </c>
      <c r="C227" s="15" t="inlineStr">
        <is>
          <t>Software Developer</t>
        </is>
      </c>
      <c r="D227" s="15">
        <f>IF(E227&gt;='Scoring Rules'!$B$3,"强",IF(E227&gt;='Scoring Rules'!$B$4,"中","弱"))</f>
        <v/>
      </c>
      <c r="E227" s="125">
        <f>MIN(100,H227+IF(I227&gt;=5,'Scoring Rules'!$B$16,IF(I227&gt;=3,'Scoring Rules'!$B$17,IF(I227&gt;=1,'Scoring Rules'!$B$18,'Scoring Rules'!$B$19)))+IF(L227="是",'Scoring Rules'!$B$22,0)+MIN(J227*'Scoring Rules'!$B$23,'Scoring Rules'!$B$24)+IF(M227="是",'Scoring Rules'!$B$25,0)+MIN((IF(K227="",0,LEN(K227)-LEN(SUBSTITUTE(K227,";",""))+1))*'Scoring Rules'!$B$26,'Scoring Rules'!$B$27)+IF(N227="是",'Scoring Rules'!$B$28,0)+IF(O227="是",'Scoring Rules'!$B$29,0)+IF(P227="是",'Scoring Rules'!$B$30,0)+IF(Q227="是",'Scoring Rules'!$B$31,0)+IF(R227="是",'Scoring Rules'!$B$32,0)+IF(S227&gt;=8000,'Scoring Rules'!$B$35,IF(S227&gt;=4000,'Scoring Rules'!$B$36,IF(S227&gt;=2000,'Scoring Rules'!$B$37,'Scoring Rules'!$B$38))))</f>
        <v/>
      </c>
      <c r="F227" s="15" t="inlineStr">
        <is>
          <t>Standard</t>
        </is>
      </c>
      <c r="G227" s="15" t="inlineStr">
        <is>
          <t>Unspecified</t>
        </is>
      </c>
      <c r="H227" s="15" t="n">
        <v>2</v>
      </c>
      <c r="I227" s="15" t="n">
        <v>3</v>
      </c>
      <c r="J227" s="15" t="n">
        <v>11</v>
      </c>
      <c r="K227" s="15" t="str"/>
      <c r="L227" s="15" t="inlineStr">
        <is>
          <t>是</t>
        </is>
      </c>
      <c r="M227" s="15" t="str"/>
      <c r="N227" s="15" t="str"/>
      <c r="O227" s="15" t="str"/>
      <c r="P227" s="15" t="inlineStr">
        <is>
          <t>是</t>
        </is>
      </c>
      <c r="Q227" s="15" t="str"/>
      <c r="R227" s="15" t="inlineStr">
        <is>
          <t>是</t>
        </is>
      </c>
      <c r="S227" s="15" t="n">
        <v>1539</v>
      </c>
      <c r="T227" s="15" t="inlineStr">
        <is>
          <t>Frontend; Backend/API; Data/Database</t>
        </is>
      </c>
      <c r="U227" s="15" t="inlineStr">
        <is>
          <t>Technology; Consulting; Education/Research</t>
        </is>
      </c>
      <c r="V227" s="15" t="inlineStr">
        <is>
          <t>C:\Workspace\java\scrape_indeed\soft_dav_part_1\3060.html#23074</t>
        </is>
      </c>
    </row>
    <row r="228">
      <c r="A228" s="2">
        <f>IF(COUNTIF('Sample 20'!$B$2:$B$21,B228)&gt;0,"是","")</f>
        <v/>
      </c>
      <c r="B228" s="2" t="inlineStr">
        <is>
          <t>22654</t>
        </is>
      </c>
      <c r="C228" s="15" t="inlineStr">
        <is>
          <t>Software Developer</t>
        </is>
      </c>
      <c r="D228" s="15">
        <f>IF(E228&gt;='Scoring Rules'!$B$3,"强",IF(E228&gt;='Scoring Rules'!$B$4,"中","弱"))</f>
        <v/>
      </c>
      <c r="E228" s="125">
        <f>MIN(100,H228+IF(I228&gt;=5,'Scoring Rules'!$B$16,IF(I228&gt;=3,'Scoring Rules'!$B$17,IF(I228&gt;=1,'Scoring Rules'!$B$18,'Scoring Rules'!$B$19)))+IF(L228="是",'Scoring Rules'!$B$22,0)+MIN(J228*'Scoring Rules'!$B$23,'Scoring Rules'!$B$24)+IF(M228="是",'Scoring Rules'!$B$25,0)+MIN((IF(K228="",0,LEN(K228)-LEN(SUBSTITUTE(K228,";",""))+1))*'Scoring Rules'!$B$26,'Scoring Rules'!$B$27)+IF(N228="是",'Scoring Rules'!$B$28,0)+IF(O228="是",'Scoring Rules'!$B$29,0)+IF(P228="是",'Scoring Rules'!$B$30,0)+IF(Q228="是",'Scoring Rules'!$B$31,0)+IF(R228="是",'Scoring Rules'!$B$32,0)+IF(S228&gt;=8000,'Scoring Rules'!$B$35,IF(S228&gt;=4000,'Scoring Rules'!$B$36,IF(S228&gt;=2000,'Scoring Rules'!$B$37,'Scoring Rules'!$B$38))))</f>
        <v/>
      </c>
      <c r="F228" s="15" t="inlineStr">
        <is>
          <t>Standard</t>
        </is>
      </c>
      <c r="G228" s="15" t="inlineStr">
        <is>
          <t>Bachelor</t>
        </is>
      </c>
      <c r="H228" s="15" t="n">
        <v>12</v>
      </c>
      <c r="I228" s="15" t="n">
        <v>3</v>
      </c>
      <c r="J228" s="15" t="n">
        <v>19</v>
      </c>
      <c r="K228" s="15" t="str"/>
      <c r="L228" s="15" t="inlineStr">
        <is>
          <t>是</t>
        </is>
      </c>
      <c r="M228" s="15" t="str"/>
      <c r="N228" s="15" t="str"/>
      <c r="O228" s="15" t="str"/>
      <c r="P228" s="15" t="str"/>
      <c r="Q228" s="15" t="inlineStr">
        <is>
          <t>是</t>
        </is>
      </c>
      <c r="R228" s="15" t="str"/>
      <c r="S228" s="15" t="n">
        <v>3096</v>
      </c>
      <c r="T228" s="15" t="inlineStr">
        <is>
          <t>Frontend; Backend/API; Data/Database; Cloud/DevOps; Testing/Automation</t>
        </is>
      </c>
      <c r="U228" s="15" t="inlineStr">
        <is>
          <t>Finance/Banking; Technology; Education/Research</t>
        </is>
      </c>
      <c r="V228" s="15" t="inlineStr">
        <is>
          <t>C:\Workspace\java\scrape_indeed\soft_dav_part_1\3063.html#23077</t>
        </is>
      </c>
    </row>
    <row r="229">
      <c r="A229" s="2">
        <f>IF(COUNTIF('Sample 20'!$B$2:$B$21,B229)&gt;0,"是","")</f>
        <v/>
      </c>
      <c r="B229" s="2" t="inlineStr">
        <is>
          <t>22658</t>
        </is>
      </c>
      <c r="C229" s="15" t="inlineStr">
        <is>
          <t>Software Developer</t>
        </is>
      </c>
      <c r="D229" s="15">
        <f>IF(E229&gt;='Scoring Rules'!$B$3,"强",IF(E229&gt;='Scoring Rules'!$B$4,"中","弱"))</f>
        <v/>
      </c>
      <c r="E229" s="125">
        <f>MIN(100,H229+IF(I229&gt;=5,'Scoring Rules'!$B$16,IF(I229&gt;=3,'Scoring Rules'!$B$17,IF(I229&gt;=1,'Scoring Rules'!$B$18,'Scoring Rules'!$B$19)))+IF(L229="是",'Scoring Rules'!$B$22,0)+MIN(J229*'Scoring Rules'!$B$23,'Scoring Rules'!$B$24)+IF(M229="是",'Scoring Rules'!$B$25,0)+MIN((IF(K229="",0,LEN(K229)-LEN(SUBSTITUTE(K229,";",""))+1))*'Scoring Rules'!$B$26,'Scoring Rules'!$B$27)+IF(N229="是",'Scoring Rules'!$B$28,0)+IF(O229="是",'Scoring Rules'!$B$29,0)+IF(P229="是",'Scoring Rules'!$B$30,0)+IF(Q229="是",'Scoring Rules'!$B$31,0)+IF(R229="是",'Scoring Rules'!$B$32,0)+IF(S229&gt;=8000,'Scoring Rules'!$B$35,IF(S229&gt;=4000,'Scoring Rules'!$B$36,IF(S229&gt;=2000,'Scoring Rules'!$B$37,'Scoring Rules'!$B$38))))</f>
        <v/>
      </c>
      <c r="F229" s="15" t="inlineStr">
        <is>
          <t>Standard</t>
        </is>
      </c>
      <c r="G229" s="15" t="inlineStr">
        <is>
          <t>Unspecified</t>
        </is>
      </c>
      <c r="H229" s="15" t="n">
        <v>2</v>
      </c>
      <c r="I229" s="15" t="n">
        <v>3</v>
      </c>
      <c r="J229" s="15" t="n">
        <v>9</v>
      </c>
      <c r="K229" s="15" t="str"/>
      <c r="L229" s="15" t="inlineStr">
        <is>
          <t>是</t>
        </is>
      </c>
      <c r="M229" s="15" t="str"/>
      <c r="N229" s="15" t="str"/>
      <c r="O229" s="15" t="inlineStr">
        <is>
          <t>是</t>
        </is>
      </c>
      <c r="P229" s="15" t="inlineStr">
        <is>
          <t>是</t>
        </is>
      </c>
      <c r="Q229" s="15" t="str"/>
      <c r="R229" s="15" t="inlineStr">
        <is>
          <t>是</t>
        </is>
      </c>
      <c r="S229" s="15" t="n">
        <v>2393</v>
      </c>
      <c r="T229" s="15" t="inlineStr">
        <is>
          <t>Frontend; Backend/API; Data/Database</t>
        </is>
      </c>
      <c r="U229" s="15" t="inlineStr">
        <is>
          <t>Technology; Consulting; Education/Research</t>
        </is>
      </c>
      <c r="V229" s="15" t="inlineStr">
        <is>
          <t>C:\Workspace\java\scrape_indeed\soft_dav_part_1\3067.html#23081</t>
        </is>
      </c>
    </row>
    <row r="230">
      <c r="A230" s="2">
        <f>IF(COUNTIF('Sample 20'!$B$2:$B$21,B230)&gt;0,"是","")</f>
        <v/>
      </c>
      <c r="B230" s="2" t="inlineStr">
        <is>
          <t>22690</t>
        </is>
      </c>
      <c r="C230" s="15" t="inlineStr">
        <is>
          <t>Software Developer</t>
        </is>
      </c>
      <c r="D230" s="15">
        <f>IF(E230&gt;='Scoring Rules'!$B$3,"强",IF(E230&gt;='Scoring Rules'!$B$4,"中","弱"))</f>
        <v/>
      </c>
      <c r="E230" s="125">
        <f>MIN(100,H230+IF(I230&gt;=5,'Scoring Rules'!$B$16,IF(I230&gt;=3,'Scoring Rules'!$B$17,IF(I230&gt;=1,'Scoring Rules'!$B$18,'Scoring Rules'!$B$19)))+IF(L230="是",'Scoring Rules'!$B$22,0)+MIN(J230*'Scoring Rules'!$B$23,'Scoring Rules'!$B$24)+IF(M230="是",'Scoring Rules'!$B$25,0)+MIN((IF(K230="",0,LEN(K230)-LEN(SUBSTITUTE(K230,";",""))+1))*'Scoring Rules'!$B$26,'Scoring Rules'!$B$27)+IF(N230="是",'Scoring Rules'!$B$28,0)+IF(O230="是",'Scoring Rules'!$B$29,0)+IF(P230="是",'Scoring Rules'!$B$30,0)+IF(Q230="是",'Scoring Rules'!$B$31,0)+IF(R230="是",'Scoring Rules'!$B$32,0)+IF(S230&gt;=8000,'Scoring Rules'!$B$35,IF(S230&gt;=4000,'Scoring Rules'!$B$36,IF(S230&gt;=2000,'Scoring Rules'!$B$37,'Scoring Rules'!$B$38))))</f>
        <v/>
      </c>
      <c r="F230" s="15" t="inlineStr">
        <is>
          <t>Standard</t>
        </is>
      </c>
      <c r="G230" s="15" t="inlineStr">
        <is>
          <t>Bachelor</t>
        </is>
      </c>
      <c r="H230" s="15" t="n">
        <v>12</v>
      </c>
      <c r="I230" s="15" t="n">
        <v>1</v>
      </c>
      <c r="J230" s="15" t="n">
        <v>11</v>
      </c>
      <c r="K230" s="15" t="str"/>
      <c r="L230" s="15" t="inlineStr">
        <is>
          <t>是</t>
        </is>
      </c>
      <c r="M230" s="15" t="str"/>
      <c r="N230" s="15" t="str"/>
      <c r="O230" s="15" t="str"/>
      <c r="P230" s="15" t="str"/>
      <c r="Q230" s="15" t="str"/>
      <c r="R230" s="15" t="inlineStr">
        <is>
          <t>是</t>
        </is>
      </c>
      <c r="S230" s="15" t="n">
        <v>2801</v>
      </c>
      <c r="T230" s="15" t="inlineStr">
        <is>
          <t>Frontend; Backend/API; Data/Database</t>
        </is>
      </c>
      <c r="U230" s="15" t="inlineStr">
        <is>
          <t>Technology; Education/Research</t>
        </is>
      </c>
      <c r="V230" s="15" t="inlineStr">
        <is>
          <t>C:\Workspace\java\scrape_indeed\soft_dav_part_1\32.html#23113</t>
        </is>
      </c>
    </row>
    <row r="231">
      <c r="A231" s="2">
        <f>IF(COUNTIF('Sample 20'!$B$2:$B$21,B231)&gt;0,"是","")</f>
        <v/>
      </c>
      <c r="B231" s="2" t="inlineStr">
        <is>
          <t>22697</t>
        </is>
      </c>
      <c r="C231" s="15" t="inlineStr">
        <is>
          <t>Software Developer</t>
        </is>
      </c>
      <c r="D231" s="15">
        <f>IF(E231&gt;='Scoring Rules'!$B$3,"强",IF(E231&gt;='Scoring Rules'!$B$4,"中","弱"))</f>
        <v/>
      </c>
      <c r="E231" s="125">
        <f>MIN(100,H231+IF(I231&gt;=5,'Scoring Rules'!$B$16,IF(I231&gt;=3,'Scoring Rules'!$B$17,IF(I231&gt;=1,'Scoring Rules'!$B$18,'Scoring Rules'!$B$19)))+IF(L231="是",'Scoring Rules'!$B$22,0)+MIN(J231*'Scoring Rules'!$B$23,'Scoring Rules'!$B$24)+IF(M231="是",'Scoring Rules'!$B$25,0)+MIN((IF(K231="",0,LEN(K231)-LEN(SUBSTITUTE(K231,";",""))+1))*'Scoring Rules'!$B$26,'Scoring Rules'!$B$27)+IF(N231="是",'Scoring Rules'!$B$28,0)+IF(O231="是",'Scoring Rules'!$B$29,0)+IF(P231="是",'Scoring Rules'!$B$30,0)+IF(Q231="是",'Scoring Rules'!$B$31,0)+IF(R231="是",'Scoring Rules'!$B$32,0)+IF(S231&gt;=8000,'Scoring Rules'!$B$35,IF(S231&gt;=4000,'Scoring Rules'!$B$36,IF(S231&gt;=2000,'Scoring Rules'!$B$37,'Scoring Rules'!$B$38))))</f>
        <v/>
      </c>
      <c r="F231" s="15" t="inlineStr">
        <is>
          <t>Standard</t>
        </is>
      </c>
      <c r="G231" s="15" t="inlineStr">
        <is>
          <t>Bachelor</t>
        </is>
      </c>
      <c r="H231" s="15" t="n">
        <v>12</v>
      </c>
      <c r="I231" s="15" t="n">
        <v>3</v>
      </c>
      <c r="J231" s="15" t="n">
        <v>10</v>
      </c>
      <c r="K231" s="15" t="str"/>
      <c r="L231" s="15" t="inlineStr">
        <is>
          <t>是</t>
        </is>
      </c>
      <c r="M231" s="15" t="str"/>
      <c r="N231" s="15" t="str"/>
      <c r="O231" s="15" t="str"/>
      <c r="P231" s="15" t="str"/>
      <c r="Q231" s="15" t="inlineStr">
        <is>
          <t>是</t>
        </is>
      </c>
      <c r="R231" s="15" t="inlineStr">
        <is>
          <t>是</t>
        </is>
      </c>
      <c r="S231" s="15" t="n">
        <v>1478</v>
      </c>
      <c r="T231" s="15" t="inlineStr">
        <is>
          <t>Frontend; Backend/API; Mobile; Data/Database</t>
        </is>
      </c>
      <c r="U231" s="15" t="inlineStr">
        <is>
          <t>Finance/Banking; Technology; Education/Research</t>
        </is>
      </c>
      <c r="V231" s="15" t="inlineStr">
        <is>
          <t>C:\Workspace\java\scrape_indeed\soft_dav_part_1\326.html#23120</t>
        </is>
      </c>
    </row>
    <row r="232">
      <c r="A232" s="2">
        <f>IF(COUNTIF('Sample 20'!$B$2:$B$21,B232)&gt;0,"是","")</f>
        <v/>
      </c>
      <c r="B232" s="2" t="inlineStr">
        <is>
          <t>22702</t>
        </is>
      </c>
      <c r="C232" s="15" t="inlineStr">
        <is>
          <t>Software Developer</t>
        </is>
      </c>
      <c r="D232" s="15">
        <f>IF(E232&gt;='Scoring Rules'!$B$3,"强",IF(E232&gt;='Scoring Rules'!$B$4,"中","弱"))</f>
        <v/>
      </c>
      <c r="E232" s="125">
        <f>MIN(100,H232+IF(I232&gt;=5,'Scoring Rules'!$B$16,IF(I232&gt;=3,'Scoring Rules'!$B$17,IF(I232&gt;=1,'Scoring Rules'!$B$18,'Scoring Rules'!$B$19)))+IF(L232="是",'Scoring Rules'!$B$22,0)+MIN(J232*'Scoring Rules'!$B$23,'Scoring Rules'!$B$24)+IF(M232="是",'Scoring Rules'!$B$25,0)+MIN((IF(K232="",0,LEN(K232)-LEN(SUBSTITUTE(K232,";",""))+1))*'Scoring Rules'!$B$26,'Scoring Rules'!$B$27)+IF(N232="是",'Scoring Rules'!$B$28,0)+IF(O232="是",'Scoring Rules'!$B$29,0)+IF(P232="是",'Scoring Rules'!$B$30,0)+IF(Q232="是",'Scoring Rules'!$B$31,0)+IF(R232="是",'Scoring Rules'!$B$32,0)+IF(S232&gt;=8000,'Scoring Rules'!$B$35,IF(S232&gt;=4000,'Scoring Rules'!$B$36,IF(S232&gt;=2000,'Scoring Rules'!$B$37,'Scoring Rules'!$B$38))))</f>
        <v/>
      </c>
      <c r="F232" s="15" t="inlineStr">
        <is>
          <t>Standard</t>
        </is>
      </c>
      <c r="G232" s="15" t="inlineStr">
        <is>
          <t>Bachelor</t>
        </is>
      </c>
      <c r="H232" s="15" t="n">
        <v>12</v>
      </c>
      <c r="I232" s="15" t="n">
        <v>2</v>
      </c>
      <c r="J232" s="15" t="n">
        <v>14</v>
      </c>
      <c r="K232" s="15" t="str"/>
      <c r="L232" s="15" t="inlineStr">
        <is>
          <t>是</t>
        </is>
      </c>
      <c r="M232" s="15" t="str"/>
      <c r="N232" s="15" t="str"/>
      <c r="O232" s="15" t="str"/>
      <c r="P232" s="15" t="str"/>
      <c r="Q232" s="15" t="str"/>
      <c r="R232" s="15" t="str"/>
      <c r="S232" s="15" t="n">
        <v>1465</v>
      </c>
      <c r="T232" s="15" t="inlineStr">
        <is>
          <t>Frontend; Backend/API; Data/Database; Cloud/DevOps</t>
        </is>
      </c>
      <c r="U232" s="15" t="inlineStr">
        <is>
          <t>Technology; Education/Research</t>
        </is>
      </c>
      <c r="V232" s="15" t="inlineStr">
        <is>
          <t>C:\Workspace\java\scrape_indeed\soft_dav_part_1\330.html#23125</t>
        </is>
      </c>
    </row>
    <row r="233">
      <c r="A233" s="2">
        <f>IF(COUNTIF('Sample 20'!$B$2:$B$21,B233)&gt;0,"是","")</f>
        <v/>
      </c>
      <c r="B233" s="2" t="inlineStr">
        <is>
          <t>22711</t>
        </is>
      </c>
      <c r="C233" s="15" t="inlineStr">
        <is>
          <t>Software Developer</t>
        </is>
      </c>
      <c r="D233" s="15">
        <f>IF(E233&gt;='Scoring Rules'!$B$3,"强",IF(E233&gt;='Scoring Rules'!$B$4,"中","弱"))</f>
        <v/>
      </c>
      <c r="E233" s="125">
        <f>MIN(100,H233+IF(I233&gt;=5,'Scoring Rules'!$B$16,IF(I233&gt;=3,'Scoring Rules'!$B$17,IF(I233&gt;=1,'Scoring Rules'!$B$18,'Scoring Rules'!$B$19)))+IF(L233="是",'Scoring Rules'!$B$22,0)+MIN(J233*'Scoring Rules'!$B$23,'Scoring Rules'!$B$24)+IF(M233="是",'Scoring Rules'!$B$25,0)+MIN((IF(K233="",0,LEN(K233)-LEN(SUBSTITUTE(K233,";",""))+1))*'Scoring Rules'!$B$26,'Scoring Rules'!$B$27)+IF(N233="是",'Scoring Rules'!$B$28,0)+IF(O233="是",'Scoring Rules'!$B$29,0)+IF(P233="是",'Scoring Rules'!$B$30,0)+IF(Q233="是",'Scoring Rules'!$B$31,0)+IF(R233="是",'Scoring Rules'!$B$32,0)+IF(S233&gt;=8000,'Scoring Rules'!$B$35,IF(S233&gt;=4000,'Scoring Rules'!$B$36,IF(S233&gt;=2000,'Scoring Rules'!$B$37,'Scoring Rules'!$B$38))))</f>
        <v/>
      </c>
      <c r="F233" s="15" t="inlineStr">
        <is>
          <t>Standard</t>
        </is>
      </c>
      <c r="G233" s="15" t="inlineStr">
        <is>
          <t>Unspecified</t>
        </is>
      </c>
      <c r="H233" s="15" t="n">
        <v>0</v>
      </c>
      <c r="I233" s="15" t="n">
        <v>2</v>
      </c>
      <c r="J233" s="15" t="n">
        <v>13</v>
      </c>
      <c r="K233" s="15" t="str"/>
      <c r="L233" s="15" t="str"/>
      <c r="M233" s="15" t="str"/>
      <c r="N233" s="15" t="str"/>
      <c r="O233" s="15" t="str"/>
      <c r="P233" s="15" t="str"/>
      <c r="Q233" s="15" t="str"/>
      <c r="R233" s="15" t="str"/>
      <c r="S233" s="15" t="n">
        <v>2038</v>
      </c>
      <c r="T233" s="15" t="inlineStr">
        <is>
          <t>Frontend; Backend/API; Mobile; Data/Database</t>
        </is>
      </c>
      <c r="U233" s="15" t="inlineStr">
        <is>
          <t>Technology</t>
        </is>
      </c>
      <c r="V233" s="15" t="inlineStr">
        <is>
          <t>C:\Workspace\java\scrape_indeed\soft_dav_part_1\34.html#23135</t>
        </is>
      </c>
    </row>
    <row r="234">
      <c r="A234" s="2">
        <f>IF(COUNTIF('Sample 20'!$B$2:$B$21,B234)&gt;0,"是","")</f>
        <v/>
      </c>
      <c r="B234" s="2" t="inlineStr">
        <is>
          <t>22717</t>
        </is>
      </c>
      <c r="C234" s="15" t="inlineStr">
        <is>
          <t>Software Developer</t>
        </is>
      </c>
      <c r="D234" s="15">
        <f>IF(E234&gt;='Scoring Rules'!$B$3,"强",IF(E234&gt;='Scoring Rules'!$B$4,"中","弱"))</f>
        <v/>
      </c>
      <c r="E234" s="125">
        <f>MIN(100,H234+IF(I234&gt;=5,'Scoring Rules'!$B$16,IF(I234&gt;=3,'Scoring Rules'!$B$17,IF(I234&gt;=1,'Scoring Rules'!$B$18,'Scoring Rules'!$B$19)))+IF(L234="是",'Scoring Rules'!$B$22,0)+MIN(J234*'Scoring Rules'!$B$23,'Scoring Rules'!$B$24)+IF(M234="是",'Scoring Rules'!$B$25,0)+MIN((IF(K234="",0,LEN(K234)-LEN(SUBSTITUTE(K234,";",""))+1))*'Scoring Rules'!$B$26,'Scoring Rules'!$B$27)+IF(N234="是",'Scoring Rules'!$B$28,0)+IF(O234="是",'Scoring Rules'!$B$29,0)+IF(P234="是",'Scoring Rules'!$B$30,0)+IF(Q234="是",'Scoring Rules'!$B$31,0)+IF(R234="是",'Scoring Rules'!$B$32,0)+IF(S234&gt;=8000,'Scoring Rules'!$B$35,IF(S234&gt;=4000,'Scoring Rules'!$B$36,IF(S234&gt;=2000,'Scoring Rules'!$B$37,'Scoring Rules'!$B$38))))</f>
        <v/>
      </c>
      <c r="F234" s="15" t="inlineStr">
        <is>
          <t>Standard</t>
        </is>
      </c>
      <c r="G234" s="15" t="inlineStr">
        <is>
          <t>Bachelor</t>
        </is>
      </c>
      <c r="H234" s="15" t="n">
        <v>12</v>
      </c>
      <c r="I234" s="15" t="n">
        <v>9</v>
      </c>
      <c r="J234" s="15" t="n">
        <v>17</v>
      </c>
      <c r="K234" s="15" t="str"/>
      <c r="L234" s="15" t="inlineStr">
        <is>
          <t>是</t>
        </is>
      </c>
      <c r="M234" s="15" t="str"/>
      <c r="N234" s="15" t="str"/>
      <c r="O234" s="15" t="str"/>
      <c r="P234" s="15" t="str"/>
      <c r="Q234" s="15" t="inlineStr">
        <is>
          <t>是</t>
        </is>
      </c>
      <c r="R234" s="15" t="inlineStr">
        <is>
          <t>是</t>
        </is>
      </c>
      <c r="S234" s="15" t="n">
        <v>3287</v>
      </c>
      <c r="T234" s="15" t="inlineStr">
        <is>
          <t>Frontend; Backend/API; Mobile; Data/Database; Cloud/DevOps</t>
        </is>
      </c>
      <c r="U234" s="15" t="inlineStr">
        <is>
          <t>Technology; Education/Research</t>
        </is>
      </c>
      <c r="V234" s="15" t="inlineStr">
        <is>
          <t>C:\Workspace\java\scrape_indeed\soft_dav_part_1\345.html#23141</t>
        </is>
      </c>
    </row>
    <row r="235">
      <c r="A235" s="2">
        <f>IF(COUNTIF('Sample 20'!$B$2:$B$21,B235)&gt;0,"是","")</f>
        <v/>
      </c>
      <c r="B235" s="2" t="inlineStr">
        <is>
          <t>22722</t>
        </is>
      </c>
      <c r="C235" s="15" t="inlineStr">
        <is>
          <t>Software Developer</t>
        </is>
      </c>
      <c r="D235" s="15">
        <f>IF(E235&gt;='Scoring Rules'!$B$3,"强",IF(E235&gt;='Scoring Rules'!$B$4,"中","弱"))</f>
        <v/>
      </c>
      <c r="E235" s="125">
        <f>MIN(100,H235+IF(I235&gt;=5,'Scoring Rules'!$B$16,IF(I235&gt;=3,'Scoring Rules'!$B$17,IF(I235&gt;=1,'Scoring Rules'!$B$18,'Scoring Rules'!$B$19)))+IF(L235="是",'Scoring Rules'!$B$22,0)+MIN(J235*'Scoring Rules'!$B$23,'Scoring Rules'!$B$24)+IF(M235="是",'Scoring Rules'!$B$25,0)+MIN((IF(K235="",0,LEN(K235)-LEN(SUBSTITUTE(K235,";",""))+1))*'Scoring Rules'!$B$26,'Scoring Rules'!$B$27)+IF(N235="是",'Scoring Rules'!$B$28,0)+IF(O235="是",'Scoring Rules'!$B$29,0)+IF(P235="是",'Scoring Rules'!$B$30,0)+IF(Q235="是",'Scoring Rules'!$B$31,0)+IF(R235="是",'Scoring Rules'!$B$32,0)+IF(S235&gt;=8000,'Scoring Rules'!$B$35,IF(S235&gt;=4000,'Scoring Rules'!$B$36,IF(S235&gt;=2000,'Scoring Rules'!$B$37,'Scoring Rules'!$B$38))))</f>
        <v/>
      </c>
      <c r="F235" s="15" t="inlineStr">
        <is>
          <t>Standard</t>
        </is>
      </c>
      <c r="G235" s="15" t="inlineStr">
        <is>
          <t>Master</t>
        </is>
      </c>
      <c r="H235" s="15" t="n">
        <v>16</v>
      </c>
      <c r="I235" s="15" t="n">
        <v>1</v>
      </c>
      <c r="J235" s="15" t="n">
        <v>21</v>
      </c>
      <c r="K235" s="15" t="str"/>
      <c r="L235" s="15" t="inlineStr">
        <is>
          <t>是</t>
        </is>
      </c>
      <c r="M235" s="15" t="str"/>
      <c r="N235" s="15" t="str"/>
      <c r="O235" s="15" t="str"/>
      <c r="P235" s="15" t="inlineStr">
        <is>
          <t>是</t>
        </is>
      </c>
      <c r="Q235" s="15" t="inlineStr">
        <is>
          <t>是</t>
        </is>
      </c>
      <c r="R235" s="15" t="inlineStr">
        <is>
          <t>是</t>
        </is>
      </c>
      <c r="S235" s="15" t="n">
        <v>3006</v>
      </c>
      <c r="T235" s="15" t="inlineStr">
        <is>
          <t>Frontend; Backend/API; Mobile; Data/Database; Testing/Automation; Machine Learning</t>
        </is>
      </c>
      <c r="U235" s="15" t="inlineStr">
        <is>
          <t>Finance/Banking; Technology; Education/Research; Manufacturing/Automotive</t>
        </is>
      </c>
      <c r="V235" s="15" t="inlineStr">
        <is>
          <t>C:\Workspace\java\scrape_indeed\soft_dav_part_1\35.html#23146</t>
        </is>
      </c>
    </row>
    <row r="236">
      <c r="A236" s="2">
        <f>IF(COUNTIF('Sample 20'!$B$2:$B$21,B236)&gt;0,"是","")</f>
        <v/>
      </c>
      <c r="B236" s="2" t="inlineStr">
        <is>
          <t>22726</t>
        </is>
      </c>
      <c r="C236" s="15" t="inlineStr">
        <is>
          <t>Software Developer</t>
        </is>
      </c>
      <c r="D236" s="15">
        <f>IF(E236&gt;='Scoring Rules'!$B$3,"强",IF(E236&gt;='Scoring Rules'!$B$4,"中","弱"))</f>
        <v/>
      </c>
      <c r="E236" s="125">
        <f>MIN(100,H236+IF(I236&gt;=5,'Scoring Rules'!$B$16,IF(I236&gt;=3,'Scoring Rules'!$B$17,IF(I236&gt;=1,'Scoring Rules'!$B$18,'Scoring Rules'!$B$19)))+IF(L236="是",'Scoring Rules'!$B$22,0)+MIN(J236*'Scoring Rules'!$B$23,'Scoring Rules'!$B$24)+IF(M236="是",'Scoring Rules'!$B$25,0)+MIN((IF(K236="",0,LEN(K236)-LEN(SUBSTITUTE(K236,";",""))+1))*'Scoring Rules'!$B$26,'Scoring Rules'!$B$27)+IF(N236="是",'Scoring Rules'!$B$28,0)+IF(O236="是",'Scoring Rules'!$B$29,0)+IF(P236="是",'Scoring Rules'!$B$30,0)+IF(Q236="是",'Scoring Rules'!$B$31,0)+IF(R236="是",'Scoring Rules'!$B$32,0)+IF(S236&gt;=8000,'Scoring Rules'!$B$35,IF(S236&gt;=4000,'Scoring Rules'!$B$36,IF(S236&gt;=2000,'Scoring Rules'!$B$37,'Scoring Rules'!$B$38))))</f>
        <v/>
      </c>
      <c r="F236" s="15" t="inlineStr">
        <is>
          <t>Standard</t>
        </is>
      </c>
      <c r="G236" s="15" t="inlineStr">
        <is>
          <t>Bachelor</t>
        </is>
      </c>
      <c r="H236" s="15" t="n">
        <v>12</v>
      </c>
      <c r="I236" s="15" t="n">
        <v>2</v>
      </c>
      <c r="J236" s="15" t="n">
        <v>18</v>
      </c>
      <c r="K236" s="15" t="str"/>
      <c r="L236" s="15" t="inlineStr">
        <is>
          <t>是</t>
        </is>
      </c>
      <c r="M236" s="15" t="str"/>
      <c r="N236" s="15" t="str"/>
      <c r="O236" s="15" t="str"/>
      <c r="P236" s="15" t="str"/>
      <c r="Q236" s="15" t="str"/>
      <c r="R236" s="15" t="str"/>
      <c r="S236" s="15" t="n">
        <v>1355</v>
      </c>
      <c r="T236" s="15" t="inlineStr">
        <is>
          <t>Frontend; Backend/API; Data/Database; Cloud/DevOps</t>
        </is>
      </c>
      <c r="U236" s="15" t="inlineStr">
        <is>
          <t>Technology; Education/Research</t>
        </is>
      </c>
      <c r="V236" s="15" t="inlineStr">
        <is>
          <t>C:\Workspace\java\scrape_indeed\soft_dav_part_1\353.html#23150</t>
        </is>
      </c>
    </row>
    <row r="237">
      <c r="A237" s="2">
        <f>IF(COUNTIF('Sample 20'!$B$2:$B$21,B237)&gt;0,"是","")</f>
        <v/>
      </c>
      <c r="B237" s="2" t="inlineStr">
        <is>
          <t>22738</t>
        </is>
      </c>
      <c r="C237" s="15" t="inlineStr">
        <is>
          <t>Software Developer</t>
        </is>
      </c>
      <c r="D237" s="15">
        <f>IF(E237&gt;='Scoring Rules'!$B$3,"强",IF(E237&gt;='Scoring Rules'!$B$4,"中","弱"))</f>
        <v/>
      </c>
      <c r="E237" s="125">
        <f>MIN(100,H237+IF(I237&gt;=5,'Scoring Rules'!$B$16,IF(I237&gt;=3,'Scoring Rules'!$B$17,IF(I237&gt;=1,'Scoring Rules'!$B$18,'Scoring Rules'!$B$19)))+IF(L237="是",'Scoring Rules'!$B$22,0)+MIN(J237*'Scoring Rules'!$B$23,'Scoring Rules'!$B$24)+IF(M237="是",'Scoring Rules'!$B$25,0)+MIN((IF(K237="",0,LEN(K237)-LEN(SUBSTITUTE(K237,";",""))+1))*'Scoring Rules'!$B$26,'Scoring Rules'!$B$27)+IF(N237="是",'Scoring Rules'!$B$28,0)+IF(O237="是",'Scoring Rules'!$B$29,0)+IF(P237="是",'Scoring Rules'!$B$30,0)+IF(Q237="是",'Scoring Rules'!$B$31,0)+IF(R237="是",'Scoring Rules'!$B$32,0)+IF(S237&gt;=8000,'Scoring Rules'!$B$35,IF(S237&gt;=4000,'Scoring Rules'!$B$36,IF(S237&gt;=2000,'Scoring Rules'!$B$37,'Scoring Rules'!$B$38))))</f>
        <v/>
      </c>
      <c r="F237" s="15" t="inlineStr">
        <is>
          <t>Standard</t>
        </is>
      </c>
      <c r="G237" s="15" t="inlineStr">
        <is>
          <t>Master</t>
        </is>
      </c>
      <c r="H237" s="15" t="n">
        <v>16</v>
      </c>
      <c r="I237" s="15" t="n">
        <v>3</v>
      </c>
      <c r="J237" s="15" t="n">
        <v>17</v>
      </c>
      <c r="K237" s="15" t="str"/>
      <c r="L237" s="15" t="inlineStr">
        <is>
          <t>是</t>
        </is>
      </c>
      <c r="M237" s="15" t="str"/>
      <c r="N237" s="15" t="str"/>
      <c r="O237" s="15" t="str"/>
      <c r="P237" s="15" t="inlineStr">
        <is>
          <t>是</t>
        </is>
      </c>
      <c r="Q237" s="15" t="inlineStr">
        <is>
          <t>是</t>
        </is>
      </c>
      <c r="R237" s="15" t="inlineStr">
        <is>
          <t>是</t>
        </is>
      </c>
      <c r="S237" s="15" t="n">
        <v>2816</v>
      </c>
      <c r="T237" s="15" t="inlineStr">
        <is>
          <t>Frontend; Backend/API; Mobile; Data/Database; Testing/Automation</t>
        </is>
      </c>
      <c r="U237" s="15" t="inlineStr">
        <is>
          <t>Technology; Telecom; Education/Research</t>
        </is>
      </c>
      <c r="V237" s="15" t="inlineStr">
        <is>
          <t>C:\Workspace\java\scrape_indeed\soft_dav_part_1\364.html#23162</t>
        </is>
      </c>
    </row>
    <row r="238">
      <c r="A238" s="2">
        <f>IF(COUNTIF('Sample 20'!$B$2:$B$21,B238)&gt;0,"是","")</f>
        <v/>
      </c>
      <c r="B238" s="2" t="inlineStr">
        <is>
          <t>22750</t>
        </is>
      </c>
      <c r="C238" s="15" t="inlineStr">
        <is>
          <t>Software Developer</t>
        </is>
      </c>
      <c r="D238" s="15">
        <f>IF(E238&gt;='Scoring Rules'!$B$3,"强",IF(E238&gt;='Scoring Rules'!$B$4,"中","弱"))</f>
        <v/>
      </c>
      <c r="E238" s="125">
        <f>MIN(100,H238+IF(I238&gt;=5,'Scoring Rules'!$B$16,IF(I238&gt;=3,'Scoring Rules'!$B$17,IF(I238&gt;=1,'Scoring Rules'!$B$18,'Scoring Rules'!$B$19)))+IF(L238="是",'Scoring Rules'!$B$22,0)+MIN(J238*'Scoring Rules'!$B$23,'Scoring Rules'!$B$24)+IF(M238="是",'Scoring Rules'!$B$25,0)+MIN((IF(K238="",0,LEN(K238)-LEN(SUBSTITUTE(K238,";",""))+1))*'Scoring Rules'!$B$26,'Scoring Rules'!$B$27)+IF(N238="是",'Scoring Rules'!$B$28,0)+IF(O238="是",'Scoring Rules'!$B$29,0)+IF(P238="是",'Scoring Rules'!$B$30,0)+IF(Q238="是",'Scoring Rules'!$B$31,0)+IF(R238="是",'Scoring Rules'!$B$32,0)+IF(S238&gt;=8000,'Scoring Rules'!$B$35,IF(S238&gt;=4000,'Scoring Rules'!$B$36,IF(S238&gt;=2000,'Scoring Rules'!$B$37,'Scoring Rules'!$B$38))))</f>
        <v/>
      </c>
      <c r="F238" s="15" t="inlineStr">
        <is>
          <t>Standard</t>
        </is>
      </c>
      <c r="G238" s="15" t="inlineStr">
        <is>
          <t>Unspecified</t>
        </is>
      </c>
      <c r="H238" s="15" t="n">
        <v>2</v>
      </c>
      <c r="I238" s="15" t="n">
        <v>1</v>
      </c>
      <c r="J238" s="15" t="n">
        <v>10</v>
      </c>
      <c r="K238" s="15" t="str"/>
      <c r="L238" s="15" t="inlineStr">
        <is>
          <t>是</t>
        </is>
      </c>
      <c r="M238" s="15" t="str"/>
      <c r="N238" s="15" t="str"/>
      <c r="O238" s="15" t="str"/>
      <c r="P238" s="15" t="str"/>
      <c r="Q238" s="15" t="inlineStr">
        <is>
          <t>是</t>
        </is>
      </c>
      <c r="R238" s="15" t="str"/>
      <c r="S238" s="15" t="n">
        <v>1225</v>
      </c>
      <c r="T238" s="15" t="inlineStr">
        <is>
          <t>Frontend; Backend/API; Data/Database</t>
        </is>
      </c>
      <c r="U238" s="15" t="inlineStr">
        <is>
          <t>Technology</t>
        </is>
      </c>
      <c r="V238" s="15" t="inlineStr">
        <is>
          <t>C:\Workspace\java\scrape_indeed\soft_dav_part_1\375.html#23174</t>
        </is>
      </c>
    </row>
    <row r="239">
      <c r="A239" s="2">
        <f>IF(COUNTIF('Sample 20'!$B$2:$B$21,B239)&gt;0,"是","")</f>
        <v/>
      </c>
      <c r="B239" s="2" t="inlineStr">
        <is>
          <t>22755</t>
        </is>
      </c>
      <c r="C239" s="15" t="inlineStr">
        <is>
          <t>Software Developer</t>
        </is>
      </c>
      <c r="D239" s="15">
        <f>IF(E239&gt;='Scoring Rules'!$B$3,"强",IF(E239&gt;='Scoring Rules'!$B$4,"中","弱"))</f>
        <v/>
      </c>
      <c r="E239" s="125">
        <f>MIN(100,H239+IF(I239&gt;=5,'Scoring Rules'!$B$16,IF(I239&gt;=3,'Scoring Rules'!$B$17,IF(I239&gt;=1,'Scoring Rules'!$B$18,'Scoring Rules'!$B$19)))+IF(L239="是",'Scoring Rules'!$B$22,0)+MIN(J239*'Scoring Rules'!$B$23,'Scoring Rules'!$B$24)+IF(M239="是",'Scoring Rules'!$B$25,0)+MIN((IF(K239="",0,LEN(K239)-LEN(SUBSTITUTE(K239,";",""))+1))*'Scoring Rules'!$B$26,'Scoring Rules'!$B$27)+IF(N239="是",'Scoring Rules'!$B$28,0)+IF(O239="是",'Scoring Rules'!$B$29,0)+IF(P239="是",'Scoring Rules'!$B$30,0)+IF(Q239="是",'Scoring Rules'!$B$31,0)+IF(R239="是",'Scoring Rules'!$B$32,0)+IF(S239&gt;=8000,'Scoring Rules'!$B$35,IF(S239&gt;=4000,'Scoring Rules'!$B$36,IF(S239&gt;=2000,'Scoring Rules'!$B$37,'Scoring Rules'!$B$38))))</f>
        <v/>
      </c>
      <c r="F239" s="15" t="inlineStr">
        <is>
          <t>Standard</t>
        </is>
      </c>
      <c r="G239" s="15" t="inlineStr">
        <is>
          <t>Bachelor</t>
        </is>
      </c>
      <c r="H239" s="15" t="n">
        <v>12</v>
      </c>
      <c r="I239" s="15" t="n">
        <v>5</v>
      </c>
      <c r="J239" s="15" t="n">
        <v>7</v>
      </c>
      <c r="K239" s="15" t="str"/>
      <c r="L239" s="15" t="inlineStr">
        <is>
          <t>是</t>
        </is>
      </c>
      <c r="M239" s="15" t="str"/>
      <c r="N239" s="15" t="str"/>
      <c r="O239" s="15" t="str"/>
      <c r="P239" s="15" t="inlineStr">
        <is>
          <t>是</t>
        </is>
      </c>
      <c r="Q239" s="15" t="inlineStr">
        <is>
          <t>是</t>
        </is>
      </c>
      <c r="R239" s="15" t="inlineStr">
        <is>
          <t>是</t>
        </is>
      </c>
      <c r="S239" s="15" t="n">
        <v>9390</v>
      </c>
      <c r="T239" s="15" t="inlineStr">
        <is>
          <t>Backend/API; Data/Database; Embedded/Systems</t>
        </is>
      </c>
      <c r="U239" s="15" t="inlineStr">
        <is>
          <t>Finance/Banking; Technology</t>
        </is>
      </c>
      <c r="V239" s="15" t="inlineStr">
        <is>
          <t>C:\Workspace\java\scrape_indeed\soft_dav_part_1\38.html#23179</t>
        </is>
      </c>
    </row>
    <row r="240">
      <c r="A240" s="2">
        <f>IF(COUNTIF('Sample 20'!$B$2:$B$21,B240)&gt;0,"是","")</f>
        <v/>
      </c>
      <c r="B240" s="2" t="inlineStr">
        <is>
          <t>22758</t>
        </is>
      </c>
      <c r="C240" s="15" t="inlineStr">
        <is>
          <t>Software Developer</t>
        </is>
      </c>
      <c r="D240" s="15">
        <f>IF(E240&gt;='Scoring Rules'!$B$3,"强",IF(E240&gt;='Scoring Rules'!$B$4,"中","弱"))</f>
        <v/>
      </c>
      <c r="E240" s="125">
        <f>MIN(100,H240+IF(I240&gt;=5,'Scoring Rules'!$B$16,IF(I240&gt;=3,'Scoring Rules'!$B$17,IF(I240&gt;=1,'Scoring Rules'!$B$18,'Scoring Rules'!$B$19)))+IF(L240="是",'Scoring Rules'!$B$22,0)+MIN(J240*'Scoring Rules'!$B$23,'Scoring Rules'!$B$24)+IF(M240="是",'Scoring Rules'!$B$25,0)+MIN((IF(K240="",0,LEN(K240)-LEN(SUBSTITUTE(K240,";",""))+1))*'Scoring Rules'!$B$26,'Scoring Rules'!$B$27)+IF(N240="是",'Scoring Rules'!$B$28,0)+IF(O240="是",'Scoring Rules'!$B$29,0)+IF(P240="是",'Scoring Rules'!$B$30,0)+IF(Q240="是",'Scoring Rules'!$B$31,0)+IF(R240="是",'Scoring Rules'!$B$32,0)+IF(S240&gt;=8000,'Scoring Rules'!$B$35,IF(S240&gt;=4000,'Scoring Rules'!$B$36,IF(S240&gt;=2000,'Scoring Rules'!$B$37,'Scoring Rules'!$B$38))))</f>
        <v/>
      </c>
      <c r="F240" s="15" t="inlineStr">
        <is>
          <t>Standard</t>
        </is>
      </c>
      <c r="G240" s="15" t="inlineStr">
        <is>
          <t>Master</t>
        </is>
      </c>
      <c r="H240" s="15" t="n">
        <v>16</v>
      </c>
      <c r="I240" s="15" t="n">
        <v>3</v>
      </c>
      <c r="J240" s="15" t="n">
        <v>11</v>
      </c>
      <c r="K240" s="15" t="str"/>
      <c r="L240" s="15" t="inlineStr">
        <is>
          <t>是</t>
        </is>
      </c>
      <c r="M240" s="15" t="str"/>
      <c r="N240" s="15" t="str"/>
      <c r="O240" s="15" t="str"/>
      <c r="P240" s="15" t="str"/>
      <c r="Q240" s="15" t="str"/>
      <c r="R240" s="15" t="str"/>
      <c r="S240" s="15" t="n">
        <v>2347</v>
      </c>
      <c r="T240" s="15" t="inlineStr">
        <is>
          <t>Frontend; Backend/API; Mobile; Data/Database; Cloud/DevOps</t>
        </is>
      </c>
      <c r="U240" s="15" t="inlineStr">
        <is>
          <t>Technology; Education/Research; Manufacturing/Automotive</t>
        </is>
      </c>
      <c r="V240" s="15" t="inlineStr">
        <is>
          <t>C:\Workspace\java\scrape_indeed\soft_dav_part_1\382.html#23182</t>
        </is>
      </c>
    </row>
    <row r="241">
      <c r="A241" s="2">
        <f>IF(COUNTIF('Sample 20'!$B$2:$B$21,B241)&gt;0,"是","")</f>
        <v/>
      </c>
      <c r="B241" s="2" t="inlineStr">
        <is>
          <t>22765</t>
        </is>
      </c>
      <c r="C241" s="15" t="inlineStr">
        <is>
          <t>Software Developer</t>
        </is>
      </c>
      <c r="D241" s="15">
        <f>IF(E241&gt;='Scoring Rules'!$B$3,"强",IF(E241&gt;='Scoring Rules'!$B$4,"中","弱"))</f>
        <v/>
      </c>
      <c r="E241" s="125">
        <f>MIN(100,H241+IF(I241&gt;=5,'Scoring Rules'!$B$16,IF(I241&gt;=3,'Scoring Rules'!$B$17,IF(I241&gt;=1,'Scoring Rules'!$B$18,'Scoring Rules'!$B$19)))+IF(L241="是",'Scoring Rules'!$B$22,0)+MIN(J241*'Scoring Rules'!$B$23,'Scoring Rules'!$B$24)+IF(M241="是",'Scoring Rules'!$B$25,0)+MIN((IF(K241="",0,LEN(K241)-LEN(SUBSTITUTE(K241,";",""))+1))*'Scoring Rules'!$B$26,'Scoring Rules'!$B$27)+IF(N241="是",'Scoring Rules'!$B$28,0)+IF(O241="是",'Scoring Rules'!$B$29,0)+IF(P241="是",'Scoring Rules'!$B$30,0)+IF(Q241="是",'Scoring Rules'!$B$31,0)+IF(R241="是",'Scoring Rules'!$B$32,0)+IF(S241&gt;=8000,'Scoring Rules'!$B$35,IF(S241&gt;=4000,'Scoring Rules'!$B$36,IF(S241&gt;=2000,'Scoring Rules'!$B$37,'Scoring Rules'!$B$38))))</f>
        <v/>
      </c>
      <c r="F241" s="15" t="inlineStr">
        <is>
          <t>Standard</t>
        </is>
      </c>
      <c r="G241" s="15" t="inlineStr">
        <is>
          <t>Master</t>
        </is>
      </c>
      <c r="H241" s="15" t="n">
        <v>16</v>
      </c>
      <c r="I241" s="15" t="n">
        <v>3</v>
      </c>
      <c r="J241" s="15" t="n">
        <v>28</v>
      </c>
      <c r="K241" s="15" t="str"/>
      <c r="L241" s="15" t="inlineStr">
        <is>
          <t>是</t>
        </is>
      </c>
      <c r="M241" s="15" t="str"/>
      <c r="N241" s="15" t="str"/>
      <c r="O241" s="15" t="str"/>
      <c r="P241" s="15" t="inlineStr">
        <is>
          <t>是</t>
        </is>
      </c>
      <c r="Q241" s="15" t="inlineStr">
        <is>
          <t>是</t>
        </is>
      </c>
      <c r="R241" s="15" t="inlineStr">
        <is>
          <t>是</t>
        </is>
      </c>
      <c r="S241" s="15" t="n">
        <v>8028</v>
      </c>
      <c r="T241" s="15" t="inlineStr">
        <is>
          <t>Frontend; Backend/API; Mobile; Data/Database; Cloud/DevOps; Embedded/Systems; Testing/Automation</t>
        </is>
      </c>
      <c r="U241" s="15" t="inlineStr">
        <is>
          <t>Technology; Education/Research</t>
        </is>
      </c>
      <c r="V241" s="15" t="inlineStr">
        <is>
          <t>C:\Workspace\java\scrape_indeed\soft_dav_part_1\39.html#23190</t>
        </is>
      </c>
    </row>
    <row r="242">
      <c r="A242" s="2">
        <f>IF(COUNTIF('Sample 20'!$B$2:$B$21,B242)&gt;0,"是","")</f>
        <v/>
      </c>
      <c r="B242" s="2" t="inlineStr">
        <is>
          <t>22767</t>
        </is>
      </c>
      <c r="C242" s="15" t="inlineStr">
        <is>
          <t>Software Developer</t>
        </is>
      </c>
      <c r="D242" s="15">
        <f>IF(E242&gt;='Scoring Rules'!$B$3,"强",IF(E242&gt;='Scoring Rules'!$B$4,"中","弱"))</f>
        <v/>
      </c>
      <c r="E242" s="125">
        <f>MIN(100,H242+IF(I242&gt;=5,'Scoring Rules'!$B$16,IF(I242&gt;=3,'Scoring Rules'!$B$17,IF(I242&gt;=1,'Scoring Rules'!$B$18,'Scoring Rules'!$B$19)))+IF(L242="是",'Scoring Rules'!$B$22,0)+MIN(J242*'Scoring Rules'!$B$23,'Scoring Rules'!$B$24)+IF(M242="是",'Scoring Rules'!$B$25,0)+MIN((IF(K242="",0,LEN(K242)-LEN(SUBSTITUTE(K242,";",""))+1))*'Scoring Rules'!$B$26,'Scoring Rules'!$B$27)+IF(N242="是",'Scoring Rules'!$B$28,0)+IF(O242="是",'Scoring Rules'!$B$29,0)+IF(P242="是",'Scoring Rules'!$B$30,0)+IF(Q242="是",'Scoring Rules'!$B$31,0)+IF(R242="是",'Scoring Rules'!$B$32,0)+IF(S242&gt;=8000,'Scoring Rules'!$B$35,IF(S242&gt;=4000,'Scoring Rules'!$B$36,IF(S242&gt;=2000,'Scoring Rules'!$B$37,'Scoring Rules'!$B$38))))</f>
        <v/>
      </c>
      <c r="F242" s="15" t="inlineStr">
        <is>
          <t>Standard</t>
        </is>
      </c>
      <c r="G242" s="15" t="inlineStr">
        <is>
          <t>Master</t>
        </is>
      </c>
      <c r="H242" s="15" t="n">
        <v>16</v>
      </c>
      <c r="I242" s="15" t="n">
        <v>1</v>
      </c>
      <c r="J242" s="15" t="n">
        <v>17</v>
      </c>
      <c r="K242" s="15" t="str"/>
      <c r="L242" s="15" t="inlineStr">
        <is>
          <t>是</t>
        </is>
      </c>
      <c r="M242" s="15" t="str"/>
      <c r="N242" s="15" t="str"/>
      <c r="O242" s="15" t="str"/>
      <c r="P242" s="15" t="inlineStr">
        <is>
          <t>是</t>
        </is>
      </c>
      <c r="Q242" s="15" t="inlineStr">
        <is>
          <t>是</t>
        </is>
      </c>
      <c r="R242" s="15" t="str"/>
      <c r="S242" s="15" t="n">
        <v>1212</v>
      </c>
      <c r="T242" s="15" t="inlineStr">
        <is>
          <t>Frontend; Backend/API; Data/Database; Cloud/DevOps</t>
        </is>
      </c>
      <c r="U242" s="15" t="inlineStr">
        <is>
          <t>Technology; Telecom; Education/Research</t>
        </is>
      </c>
      <c r="V242" s="15" t="inlineStr">
        <is>
          <t>C:\Workspace\java\scrape_indeed\soft_dav_part_1\391.html#23192</t>
        </is>
      </c>
    </row>
    <row r="243">
      <c r="A243" s="2">
        <f>IF(COUNTIF('Sample 20'!$B$2:$B$21,B243)&gt;0,"是","")</f>
        <v/>
      </c>
      <c r="B243" s="2" t="inlineStr">
        <is>
          <t>22769</t>
        </is>
      </c>
      <c r="C243" s="15" t="inlineStr">
        <is>
          <t>Software Developer</t>
        </is>
      </c>
      <c r="D243" s="15">
        <f>IF(E243&gt;='Scoring Rules'!$B$3,"强",IF(E243&gt;='Scoring Rules'!$B$4,"中","弱"))</f>
        <v/>
      </c>
      <c r="E243" s="125">
        <f>MIN(100,H243+IF(I243&gt;=5,'Scoring Rules'!$B$16,IF(I243&gt;=3,'Scoring Rules'!$B$17,IF(I243&gt;=1,'Scoring Rules'!$B$18,'Scoring Rules'!$B$19)))+IF(L243="是",'Scoring Rules'!$B$22,0)+MIN(J243*'Scoring Rules'!$B$23,'Scoring Rules'!$B$24)+IF(M243="是",'Scoring Rules'!$B$25,0)+MIN((IF(K243="",0,LEN(K243)-LEN(SUBSTITUTE(K243,";",""))+1))*'Scoring Rules'!$B$26,'Scoring Rules'!$B$27)+IF(N243="是",'Scoring Rules'!$B$28,0)+IF(O243="是",'Scoring Rules'!$B$29,0)+IF(P243="是",'Scoring Rules'!$B$30,0)+IF(Q243="是",'Scoring Rules'!$B$31,0)+IF(R243="是",'Scoring Rules'!$B$32,0)+IF(S243&gt;=8000,'Scoring Rules'!$B$35,IF(S243&gt;=4000,'Scoring Rules'!$B$36,IF(S243&gt;=2000,'Scoring Rules'!$B$37,'Scoring Rules'!$B$38))))</f>
        <v/>
      </c>
      <c r="F243" s="15" t="inlineStr">
        <is>
          <t>Standard</t>
        </is>
      </c>
      <c r="G243" s="15" t="inlineStr">
        <is>
          <t>Bachelor</t>
        </is>
      </c>
      <c r="H243" s="15" t="n">
        <v>12</v>
      </c>
      <c r="I243" s="15" t="n">
        <v>5</v>
      </c>
      <c r="J243" s="15" t="n">
        <v>15</v>
      </c>
      <c r="K243" s="15" t="str"/>
      <c r="L243" s="15" t="inlineStr">
        <is>
          <t>是</t>
        </is>
      </c>
      <c r="M243" s="15" t="str"/>
      <c r="N243" s="15" t="str"/>
      <c r="O243" s="15" t="str"/>
      <c r="P243" s="15" t="str"/>
      <c r="Q243" s="15" t="inlineStr">
        <is>
          <t>是</t>
        </is>
      </c>
      <c r="R243" s="15" t="inlineStr">
        <is>
          <t>是</t>
        </is>
      </c>
      <c r="S243" s="15" t="n">
        <v>3599</v>
      </c>
      <c r="T243" s="15" t="inlineStr">
        <is>
          <t>Frontend; Backend/API; Data/Database</t>
        </is>
      </c>
      <c r="U243" s="15" t="inlineStr">
        <is>
          <t>Finance/Banking; Technology; Education/Research</t>
        </is>
      </c>
      <c r="V243" s="15" t="inlineStr">
        <is>
          <t>C:\Workspace\java\scrape_indeed\soft_dav_part_1\393.html#23194</t>
        </is>
      </c>
    </row>
    <row r="244">
      <c r="A244" s="2">
        <f>IF(COUNTIF('Sample 20'!$B$2:$B$21,B244)&gt;0,"是","")</f>
        <v/>
      </c>
      <c r="B244" s="2" t="inlineStr">
        <is>
          <t>22770</t>
        </is>
      </c>
      <c r="C244" s="15" t="inlineStr">
        <is>
          <t>Software developer</t>
        </is>
      </c>
      <c r="D244" s="15">
        <f>IF(E244&gt;='Scoring Rules'!$B$3,"强",IF(E244&gt;='Scoring Rules'!$B$4,"中","弱"))</f>
        <v/>
      </c>
      <c r="E244" s="125">
        <f>MIN(100,H244+IF(I244&gt;=5,'Scoring Rules'!$B$16,IF(I244&gt;=3,'Scoring Rules'!$B$17,IF(I244&gt;=1,'Scoring Rules'!$B$18,'Scoring Rules'!$B$19)))+IF(L244="是",'Scoring Rules'!$B$22,0)+MIN(J244*'Scoring Rules'!$B$23,'Scoring Rules'!$B$24)+IF(M244="是",'Scoring Rules'!$B$25,0)+MIN((IF(K244="",0,LEN(K244)-LEN(SUBSTITUTE(K244,";",""))+1))*'Scoring Rules'!$B$26,'Scoring Rules'!$B$27)+IF(N244="是",'Scoring Rules'!$B$28,0)+IF(O244="是",'Scoring Rules'!$B$29,0)+IF(P244="是",'Scoring Rules'!$B$30,0)+IF(Q244="是",'Scoring Rules'!$B$31,0)+IF(R244="是",'Scoring Rules'!$B$32,0)+IF(S244&gt;=8000,'Scoring Rules'!$B$35,IF(S244&gt;=4000,'Scoring Rules'!$B$36,IF(S244&gt;=2000,'Scoring Rules'!$B$37,'Scoring Rules'!$B$38))))</f>
        <v/>
      </c>
      <c r="F244" s="15" t="inlineStr">
        <is>
          <t>Standard</t>
        </is>
      </c>
      <c r="G244" s="15" t="inlineStr">
        <is>
          <t>Bachelor</t>
        </is>
      </c>
      <c r="H244" s="15" t="n">
        <v>12</v>
      </c>
      <c r="I244" s="15" t="n">
        <v>2</v>
      </c>
      <c r="J244" s="15" t="n">
        <v>12</v>
      </c>
      <c r="K244" s="15" t="str"/>
      <c r="L244" s="15" t="inlineStr">
        <is>
          <t>是</t>
        </is>
      </c>
      <c r="M244" s="15" t="str"/>
      <c r="N244" s="15" t="str"/>
      <c r="O244" s="15" t="str"/>
      <c r="P244" s="15" t="str"/>
      <c r="Q244" s="15" t="inlineStr">
        <is>
          <t>是</t>
        </is>
      </c>
      <c r="R244" s="15" t="str"/>
      <c r="S244" s="15" t="n">
        <v>2580</v>
      </c>
      <c r="T244" s="15" t="inlineStr">
        <is>
          <t>Frontend; Backend/API; Mobile; Data/Database</t>
        </is>
      </c>
      <c r="U244" s="15" t="inlineStr">
        <is>
          <t>Technology; Education/Research</t>
        </is>
      </c>
      <c r="V244" s="15" t="inlineStr">
        <is>
          <t>C:\Workspace\java\scrape_indeed\soft_dav_part_1\394.html#23195</t>
        </is>
      </c>
    </row>
    <row r="245">
      <c r="A245" s="2">
        <f>IF(COUNTIF('Sample 20'!$B$2:$B$21,B245)&gt;0,"是","")</f>
        <v/>
      </c>
      <c r="B245" s="2" t="inlineStr">
        <is>
          <t>22772</t>
        </is>
      </c>
      <c r="C245" s="15" t="inlineStr">
        <is>
          <t>Software Developer</t>
        </is>
      </c>
      <c r="D245" s="15">
        <f>IF(E245&gt;='Scoring Rules'!$B$3,"强",IF(E245&gt;='Scoring Rules'!$B$4,"中","弱"))</f>
        <v/>
      </c>
      <c r="E245" s="125">
        <f>MIN(100,H245+IF(I245&gt;=5,'Scoring Rules'!$B$16,IF(I245&gt;=3,'Scoring Rules'!$B$17,IF(I245&gt;=1,'Scoring Rules'!$B$18,'Scoring Rules'!$B$19)))+IF(L245="是",'Scoring Rules'!$B$22,0)+MIN(J245*'Scoring Rules'!$B$23,'Scoring Rules'!$B$24)+IF(M245="是",'Scoring Rules'!$B$25,0)+MIN((IF(K245="",0,LEN(K245)-LEN(SUBSTITUTE(K245,";",""))+1))*'Scoring Rules'!$B$26,'Scoring Rules'!$B$27)+IF(N245="是",'Scoring Rules'!$B$28,0)+IF(O245="是",'Scoring Rules'!$B$29,0)+IF(P245="是",'Scoring Rules'!$B$30,0)+IF(Q245="是",'Scoring Rules'!$B$31,0)+IF(R245="是",'Scoring Rules'!$B$32,0)+IF(S245&gt;=8000,'Scoring Rules'!$B$35,IF(S245&gt;=4000,'Scoring Rules'!$B$36,IF(S245&gt;=2000,'Scoring Rules'!$B$37,'Scoring Rules'!$B$38))))</f>
        <v/>
      </c>
      <c r="F245" s="15" t="inlineStr">
        <is>
          <t>Standard</t>
        </is>
      </c>
      <c r="G245" s="15" t="inlineStr">
        <is>
          <t>Unspecified</t>
        </is>
      </c>
      <c r="H245" s="15" t="n">
        <v>2</v>
      </c>
      <c r="I245" s="15" t="n">
        <v>3</v>
      </c>
      <c r="J245" s="15" t="n">
        <v>10</v>
      </c>
      <c r="K245" s="15" t="str"/>
      <c r="L245" s="15" t="inlineStr">
        <is>
          <t>是</t>
        </is>
      </c>
      <c r="M245" s="15" t="str"/>
      <c r="N245" s="15" t="str"/>
      <c r="O245" s="15" t="inlineStr">
        <is>
          <t>是</t>
        </is>
      </c>
      <c r="P245" s="15" t="inlineStr">
        <is>
          <t>是</t>
        </is>
      </c>
      <c r="Q245" s="15" t="str"/>
      <c r="R245" s="15" t="inlineStr">
        <is>
          <t>是</t>
        </is>
      </c>
      <c r="S245" s="15" t="n">
        <v>1860</v>
      </c>
      <c r="T245" s="15" t="inlineStr">
        <is>
          <t>Frontend; Data/Database; Cloud/DevOps</t>
        </is>
      </c>
      <c r="U245" s="15" t="inlineStr">
        <is>
          <t>Technology; Education/Research</t>
        </is>
      </c>
      <c r="V245" s="15" t="inlineStr">
        <is>
          <t>C:\Workspace\java\scrape_indeed\soft_dav_part_1\396.html#23197</t>
        </is>
      </c>
    </row>
    <row r="246">
      <c r="A246" s="2">
        <f>IF(COUNTIF('Sample 20'!$B$2:$B$21,B246)&gt;0,"是","")</f>
        <v/>
      </c>
      <c r="B246" s="2" t="inlineStr">
        <is>
          <t>22776</t>
        </is>
      </c>
      <c r="C246" s="15" t="inlineStr">
        <is>
          <t>Software Developer</t>
        </is>
      </c>
      <c r="D246" s="15">
        <f>IF(E246&gt;='Scoring Rules'!$B$3,"强",IF(E246&gt;='Scoring Rules'!$B$4,"中","弱"))</f>
        <v/>
      </c>
      <c r="E246" s="125">
        <f>MIN(100,H246+IF(I246&gt;=5,'Scoring Rules'!$B$16,IF(I246&gt;=3,'Scoring Rules'!$B$17,IF(I246&gt;=1,'Scoring Rules'!$B$18,'Scoring Rules'!$B$19)))+IF(L246="是",'Scoring Rules'!$B$22,0)+MIN(J246*'Scoring Rules'!$B$23,'Scoring Rules'!$B$24)+IF(M246="是",'Scoring Rules'!$B$25,0)+MIN((IF(K246="",0,LEN(K246)-LEN(SUBSTITUTE(K246,";",""))+1))*'Scoring Rules'!$B$26,'Scoring Rules'!$B$27)+IF(N246="是",'Scoring Rules'!$B$28,0)+IF(O246="是",'Scoring Rules'!$B$29,0)+IF(P246="是",'Scoring Rules'!$B$30,0)+IF(Q246="是",'Scoring Rules'!$B$31,0)+IF(R246="是",'Scoring Rules'!$B$32,0)+IF(S246&gt;=8000,'Scoring Rules'!$B$35,IF(S246&gt;=4000,'Scoring Rules'!$B$36,IF(S246&gt;=2000,'Scoring Rules'!$B$37,'Scoring Rules'!$B$38))))</f>
        <v/>
      </c>
      <c r="F246" s="15" t="inlineStr">
        <is>
          <t>Standard</t>
        </is>
      </c>
      <c r="G246" s="15" t="inlineStr">
        <is>
          <t>Bachelor</t>
        </is>
      </c>
      <c r="H246" s="15" t="n">
        <v>12</v>
      </c>
      <c r="I246" s="15" t="n">
        <v>2</v>
      </c>
      <c r="J246" s="15" t="n">
        <v>12</v>
      </c>
      <c r="K246" s="15" t="str"/>
      <c r="L246" s="15" t="inlineStr">
        <is>
          <t>是</t>
        </is>
      </c>
      <c r="M246" s="15" t="str"/>
      <c r="N246" s="15" t="str"/>
      <c r="O246" s="15" t="str"/>
      <c r="P246" s="15" t="str"/>
      <c r="Q246" s="15" t="str"/>
      <c r="R246" s="15" t="inlineStr">
        <is>
          <t>是</t>
        </is>
      </c>
      <c r="S246" s="15" t="n">
        <v>1720</v>
      </c>
      <c r="T246" s="15" t="inlineStr">
        <is>
          <t>Frontend; Backend/API; Data/Database</t>
        </is>
      </c>
      <c r="U246" s="15" t="inlineStr">
        <is>
          <t>Technology; Education/Research; Manufacturing/Automotive</t>
        </is>
      </c>
      <c r="V246" s="15" t="inlineStr">
        <is>
          <t>C:\Workspace\java\scrape_indeed\soft_dav_part_1\4.html#23201</t>
        </is>
      </c>
    </row>
    <row r="247">
      <c r="A247" s="2">
        <f>IF(COUNTIF('Sample 20'!$B$2:$B$21,B247)&gt;0,"是","")</f>
        <v/>
      </c>
      <c r="B247" s="2" t="inlineStr">
        <is>
          <t>22777</t>
        </is>
      </c>
      <c r="C247" s="15" t="inlineStr">
        <is>
          <t>Software Developer</t>
        </is>
      </c>
      <c r="D247" s="15">
        <f>IF(E247&gt;='Scoring Rules'!$B$3,"强",IF(E247&gt;='Scoring Rules'!$B$4,"中","弱"))</f>
        <v/>
      </c>
      <c r="E247" s="125">
        <f>MIN(100,H247+IF(I247&gt;=5,'Scoring Rules'!$B$16,IF(I247&gt;=3,'Scoring Rules'!$B$17,IF(I247&gt;=1,'Scoring Rules'!$B$18,'Scoring Rules'!$B$19)))+IF(L247="是",'Scoring Rules'!$B$22,0)+MIN(J247*'Scoring Rules'!$B$23,'Scoring Rules'!$B$24)+IF(M247="是",'Scoring Rules'!$B$25,0)+MIN((IF(K247="",0,LEN(K247)-LEN(SUBSTITUTE(K247,";",""))+1))*'Scoring Rules'!$B$26,'Scoring Rules'!$B$27)+IF(N247="是",'Scoring Rules'!$B$28,0)+IF(O247="是",'Scoring Rules'!$B$29,0)+IF(P247="是",'Scoring Rules'!$B$30,0)+IF(Q247="是",'Scoring Rules'!$B$31,0)+IF(R247="是",'Scoring Rules'!$B$32,0)+IF(S247&gt;=8000,'Scoring Rules'!$B$35,IF(S247&gt;=4000,'Scoring Rules'!$B$36,IF(S247&gt;=2000,'Scoring Rules'!$B$37,'Scoring Rules'!$B$38))))</f>
        <v/>
      </c>
      <c r="F247" s="15" t="inlineStr">
        <is>
          <t>Standard</t>
        </is>
      </c>
      <c r="G247" s="15" t="inlineStr">
        <is>
          <t>Bachelor</t>
        </is>
      </c>
      <c r="H247" s="15" t="n">
        <v>12</v>
      </c>
      <c r="I247" s="15" t="n">
        <v>3</v>
      </c>
      <c r="J247" s="15" t="n">
        <v>17</v>
      </c>
      <c r="K247" s="15" t="str"/>
      <c r="L247" s="15" t="inlineStr">
        <is>
          <t>是</t>
        </is>
      </c>
      <c r="M247" s="15" t="str"/>
      <c r="N247" s="15" t="str"/>
      <c r="O247" s="15" t="str"/>
      <c r="P247" s="15" t="str"/>
      <c r="Q247" s="15" t="inlineStr">
        <is>
          <t>是</t>
        </is>
      </c>
      <c r="R247" s="15" t="inlineStr">
        <is>
          <t>是</t>
        </is>
      </c>
      <c r="S247" s="15" t="n">
        <v>3492</v>
      </c>
      <c r="T247" s="15" t="inlineStr">
        <is>
          <t>Frontend; Backend/API; Mobile; Data/Database; Cloud/DevOps</t>
        </is>
      </c>
      <c r="U247" s="15" t="inlineStr">
        <is>
          <t>Finance/Banking; Technology; Education/Research</t>
        </is>
      </c>
      <c r="V247" s="15" t="inlineStr">
        <is>
          <t>C:\Workspace\java\scrape_indeed\soft_dav_part_1\40.html#23202</t>
        </is>
      </c>
    </row>
    <row r="248">
      <c r="A248" s="2">
        <f>IF(COUNTIF('Sample 20'!$B$2:$B$21,B248)&gt;0,"是","")</f>
        <v/>
      </c>
      <c r="B248" s="2" t="inlineStr">
        <is>
          <t>22780</t>
        </is>
      </c>
      <c r="C248" s="15" t="inlineStr">
        <is>
          <t>Software Developer</t>
        </is>
      </c>
      <c r="D248" s="15">
        <f>IF(E248&gt;='Scoring Rules'!$B$3,"强",IF(E248&gt;='Scoring Rules'!$B$4,"中","弱"))</f>
        <v/>
      </c>
      <c r="E248" s="125">
        <f>MIN(100,H248+IF(I248&gt;=5,'Scoring Rules'!$B$16,IF(I248&gt;=3,'Scoring Rules'!$B$17,IF(I248&gt;=1,'Scoring Rules'!$B$18,'Scoring Rules'!$B$19)))+IF(L248="是",'Scoring Rules'!$B$22,0)+MIN(J248*'Scoring Rules'!$B$23,'Scoring Rules'!$B$24)+IF(M248="是",'Scoring Rules'!$B$25,0)+MIN((IF(K248="",0,LEN(K248)-LEN(SUBSTITUTE(K248,";",""))+1))*'Scoring Rules'!$B$26,'Scoring Rules'!$B$27)+IF(N248="是",'Scoring Rules'!$B$28,0)+IF(O248="是",'Scoring Rules'!$B$29,0)+IF(P248="是",'Scoring Rules'!$B$30,0)+IF(Q248="是",'Scoring Rules'!$B$31,0)+IF(R248="是",'Scoring Rules'!$B$32,0)+IF(S248&gt;=8000,'Scoring Rules'!$B$35,IF(S248&gt;=4000,'Scoring Rules'!$B$36,IF(S248&gt;=2000,'Scoring Rules'!$B$37,'Scoring Rules'!$B$38))))</f>
        <v/>
      </c>
      <c r="F248" s="15" t="inlineStr">
        <is>
          <t>Standard</t>
        </is>
      </c>
      <c r="G248" s="15" t="inlineStr">
        <is>
          <t>Bachelor</t>
        </is>
      </c>
      <c r="H248" s="15" t="n">
        <v>12</v>
      </c>
      <c r="I248" s="15" t="n">
        <v>3</v>
      </c>
      <c r="J248" s="15" t="n">
        <v>12</v>
      </c>
      <c r="K248" s="15" t="str"/>
      <c r="L248" s="15" t="inlineStr">
        <is>
          <t>是</t>
        </is>
      </c>
      <c r="M248" s="15" t="str"/>
      <c r="N248" s="15" t="str"/>
      <c r="O248" s="15" t="str"/>
      <c r="P248" s="15" t="str"/>
      <c r="Q248" s="15" t="inlineStr">
        <is>
          <t>是</t>
        </is>
      </c>
      <c r="R248" s="15" t="inlineStr">
        <is>
          <t>是</t>
        </is>
      </c>
      <c r="S248" s="15" t="n">
        <v>2599</v>
      </c>
      <c r="T248" s="15" t="inlineStr">
        <is>
          <t>Frontend; Backend/API; Mobile; Data/Database</t>
        </is>
      </c>
      <c r="U248" s="15" t="inlineStr">
        <is>
          <t>Finance/Banking; Technology; Education/Research</t>
        </is>
      </c>
      <c r="V248" s="15" t="inlineStr">
        <is>
          <t>C:\Workspace\java\scrape_indeed\soft_dav_part_1\402.html#23205</t>
        </is>
      </c>
    </row>
    <row r="249">
      <c r="A249" s="2">
        <f>IF(COUNTIF('Sample 20'!$B$2:$B$21,B249)&gt;0,"是","")</f>
        <v/>
      </c>
      <c r="B249" s="2" t="inlineStr">
        <is>
          <t>22786</t>
        </is>
      </c>
      <c r="C249" s="15" t="inlineStr">
        <is>
          <t>Software Developer</t>
        </is>
      </c>
      <c r="D249" s="15">
        <f>IF(E249&gt;='Scoring Rules'!$B$3,"强",IF(E249&gt;='Scoring Rules'!$B$4,"中","弱"))</f>
        <v/>
      </c>
      <c r="E249" s="125">
        <f>MIN(100,H249+IF(I249&gt;=5,'Scoring Rules'!$B$16,IF(I249&gt;=3,'Scoring Rules'!$B$17,IF(I249&gt;=1,'Scoring Rules'!$B$18,'Scoring Rules'!$B$19)))+IF(L249="是",'Scoring Rules'!$B$22,0)+MIN(J249*'Scoring Rules'!$B$23,'Scoring Rules'!$B$24)+IF(M249="是",'Scoring Rules'!$B$25,0)+MIN((IF(K249="",0,LEN(K249)-LEN(SUBSTITUTE(K249,";",""))+1))*'Scoring Rules'!$B$26,'Scoring Rules'!$B$27)+IF(N249="是",'Scoring Rules'!$B$28,0)+IF(O249="是",'Scoring Rules'!$B$29,0)+IF(P249="是",'Scoring Rules'!$B$30,0)+IF(Q249="是",'Scoring Rules'!$B$31,0)+IF(R249="是",'Scoring Rules'!$B$32,0)+IF(S249&gt;=8000,'Scoring Rules'!$B$35,IF(S249&gt;=4000,'Scoring Rules'!$B$36,IF(S249&gt;=2000,'Scoring Rules'!$B$37,'Scoring Rules'!$B$38))))</f>
        <v/>
      </c>
      <c r="F249" s="15" t="inlineStr">
        <is>
          <t>Standard</t>
        </is>
      </c>
      <c r="G249" s="15" t="inlineStr">
        <is>
          <t>Bachelor</t>
        </is>
      </c>
      <c r="H249" s="15" t="n">
        <v>12</v>
      </c>
      <c r="I249" s="15" t="n">
        <v>5</v>
      </c>
      <c r="J249" s="15" t="n">
        <v>13</v>
      </c>
      <c r="K249" s="15" t="str"/>
      <c r="L249" s="15" t="inlineStr">
        <is>
          <t>是</t>
        </is>
      </c>
      <c r="M249" s="15" t="str"/>
      <c r="N249" s="15" t="str"/>
      <c r="O249" s="15" t="str"/>
      <c r="P249" s="15" t="inlineStr">
        <is>
          <t>是</t>
        </is>
      </c>
      <c r="Q249" s="15" t="str"/>
      <c r="R249" s="15" t="inlineStr">
        <is>
          <t>是</t>
        </is>
      </c>
      <c r="S249" s="15" t="n">
        <v>2317</v>
      </c>
      <c r="T249" s="15" t="inlineStr">
        <is>
          <t>Frontend; Backend/API; Data/Database</t>
        </is>
      </c>
      <c r="U249" s="15" t="inlineStr">
        <is>
          <t>Finance/Banking; Government/Defense; Technology; Education/Research</t>
        </is>
      </c>
      <c r="V249" s="15" t="inlineStr">
        <is>
          <t>C:\Workspace\java\scrape_indeed\soft_dav_part_1\408.html#23211</t>
        </is>
      </c>
    </row>
    <row r="250">
      <c r="A250" s="2">
        <f>IF(COUNTIF('Sample 20'!$B$2:$B$21,B250)&gt;0,"是","")</f>
        <v/>
      </c>
      <c r="B250" s="2" t="inlineStr">
        <is>
          <t>22787</t>
        </is>
      </c>
      <c r="C250" s="15" t="inlineStr">
        <is>
          <t>Software Developer</t>
        </is>
      </c>
      <c r="D250" s="15">
        <f>IF(E250&gt;='Scoring Rules'!$B$3,"强",IF(E250&gt;='Scoring Rules'!$B$4,"中","弱"))</f>
        <v/>
      </c>
      <c r="E250" s="125">
        <f>MIN(100,H250+IF(I250&gt;=5,'Scoring Rules'!$B$16,IF(I250&gt;=3,'Scoring Rules'!$B$17,IF(I250&gt;=1,'Scoring Rules'!$B$18,'Scoring Rules'!$B$19)))+IF(L250="是",'Scoring Rules'!$B$22,0)+MIN(J250*'Scoring Rules'!$B$23,'Scoring Rules'!$B$24)+IF(M250="是",'Scoring Rules'!$B$25,0)+MIN((IF(K250="",0,LEN(K250)-LEN(SUBSTITUTE(K250,";",""))+1))*'Scoring Rules'!$B$26,'Scoring Rules'!$B$27)+IF(N250="是",'Scoring Rules'!$B$28,0)+IF(O250="是",'Scoring Rules'!$B$29,0)+IF(P250="是",'Scoring Rules'!$B$30,0)+IF(Q250="是",'Scoring Rules'!$B$31,0)+IF(R250="是",'Scoring Rules'!$B$32,0)+IF(S250&gt;=8000,'Scoring Rules'!$B$35,IF(S250&gt;=4000,'Scoring Rules'!$B$36,IF(S250&gt;=2000,'Scoring Rules'!$B$37,'Scoring Rules'!$B$38))))</f>
        <v/>
      </c>
      <c r="F250" s="15" t="inlineStr">
        <is>
          <t>Standard</t>
        </is>
      </c>
      <c r="G250" s="15" t="inlineStr">
        <is>
          <t>Master</t>
        </is>
      </c>
      <c r="H250" s="15" t="n">
        <v>16</v>
      </c>
      <c r="I250" s="15" t="n">
        <v>1</v>
      </c>
      <c r="J250" s="15" t="n">
        <v>17</v>
      </c>
      <c r="K250" s="15" t="str"/>
      <c r="L250" s="15" t="inlineStr">
        <is>
          <t>是</t>
        </is>
      </c>
      <c r="M250" s="15" t="str"/>
      <c r="N250" s="15" t="str"/>
      <c r="O250" s="15" t="str"/>
      <c r="P250" s="15" t="inlineStr">
        <is>
          <t>是</t>
        </is>
      </c>
      <c r="Q250" s="15" t="inlineStr">
        <is>
          <t>是</t>
        </is>
      </c>
      <c r="R250" s="15" t="inlineStr">
        <is>
          <t>是</t>
        </is>
      </c>
      <c r="S250" s="15" t="n">
        <v>1933</v>
      </c>
      <c r="T250" s="15" t="inlineStr">
        <is>
          <t>Frontend; Backend/API; Data/Database; Cloud/DevOps</t>
        </is>
      </c>
      <c r="U250" s="15" t="inlineStr">
        <is>
          <t>Finance/Banking; Technology; Education/Research</t>
        </is>
      </c>
      <c r="V250" s="15" t="inlineStr">
        <is>
          <t>C:\Workspace\java\scrape_indeed\soft_dav_part_1\409.html#23212</t>
        </is>
      </c>
    </row>
    <row r="251">
      <c r="A251" s="2">
        <f>IF(COUNTIF('Sample 20'!$B$2:$B$21,B251)&gt;0,"是","")</f>
        <v/>
      </c>
      <c r="B251" s="2" t="inlineStr">
        <is>
          <t>22788</t>
        </is>
      </c>
      <c r="C251" s="15" t="inlineStr">
        <is>
          <t>Software Developer</t>
        </is>
      </c>
      <c r="D251" s="15">
        <f>IF(E251&gt;='Scoring Rules'!$B$3,"强",IF(E251&gt;='Scoring Rules'!$B$4,"中","弱"))</f>
        <v/>
      </c>
      <c r="E251" s="125">
        <f>MIN(100,H251+IF(I251&gt;=5,'Scoring Rules'!$B$16,IF(I251&gt;=3,'Scoring Rules'!$B$17,IF(I251&gt;=1,'Scoring Rules'!$B$18,'Scoring Rules'!$B$19)))+IF(L251="是",'Scoring Rules'!$B$22,0)+MIN(J251*'Scoring Rules'!$B$23,'Scoring Rules'!$B$24)+IF(M251="是",'Scoring Rules'!$B$25,0)+MIN((IF(K251="",0,LEN(K251)-LEN(SUBSTITUTE(K251,";",""))+1))*'Scoring Rules'!$B$26,'Scoring Rules'!$B$27)+IF(N251="是",'Scoring Rules'!$B$28,0)+IF(O251="是",'Scoring Rules'!$B$29,0)+IF(P251="是",'Scoring Rules'!$B$30,0)+IF(Q251="是",'Scoring Rules'!$B$31,0)+IF(R251="是",'Scoring Rules'!$B$32,0)+IF(S251&gt;=8000,'Scoring Rules'!$B$35,IF(S251&gt;=4000,'Scoring Rules'!$B$36,IF(S251&gt;=2000,'Scoring Rules'!$B$37,'Scoring Rules'!$B$38))))</f>
        <v/>
      </c>
      <c r="F251" s="15" t="inlineStr">
        <is>
          <t>Standard</t>
        </is>
      </c>
      <c r="G251" s="15" t="inlineStr">
        <is>
          <t>Master</t>
        </is>
      </c>
      <c r="H251" s="15" t="n">
        <v>16</v>
      </c>
      <c r="I251" s="15" t="n">
        <v>1</v>
      </c>
      <c r="J251" s="15" t="n">
        <v>12</v>
      </c>
      <c r="K251" s="15" t="str"/>
      <c r="L251" s="15" t="inlineStr">
        <is>
          <t>是</t>
        </is>
      </c>
      <c r="M251" s="15" t="str"/>
      <c r="N251" s="15" t="str"/>
      <c r="O251" s="15" t="str"/>
      <c r="P251" s="15" t="str"/>
      <c r="Q251" s="15" t="inlineStr">
        <is>
          <t>是</t>
        </is>
      </c>
      <c r="R251" s="15" t="str"/>
      <c r="S251" s="15" t="n">
        <v>2848</v>
      </c>
      <c r="T251" s="15" t="inlineStr">
        <is>
          <t>Frontend; Backend/API; Mobile; Cloud/DevOps; Embedded/Systems</t>
        </is>
      </c>
      <c r="U251" s="15" t="inlineStr">
        <is>
          <t>Technology; Education/Research; Manufacturing/Automotive</t>
        </is>
      </c>
      <c r="V251" s="15" t="inlineStr">
        <is>
          <t>C:\Workspace\java\scrape_indeed\soft_dav_part_1\41.html#23213</t>
        </is>
      </c>
    </row>
    <row r="252">
      <c r="A252" s="2">
        <f>IF(COUNTIF('Sample 20'!$B$2:$B$21,B252)&gt;0,"是","")</f>
        <v/>
      </c>
      <c r="B252" s="2" t="inlineStr">
        <is>
          <t>22789</t>
        </is>
      </c>
      <c r="C252" s="15" t="inlineStr">
        <is>
          <t>SOFTWARE DEVELOPER</t>
        </is>
      </c>
      <c r="D252" s="15">
        <f>IF(E252&gt;='Scoring Rules'!$B$3,"强",IF(E252&gt;='Scoring Rules'!$B$4,"中","弱"))</f>
        <v/>
      </c>
      <c r="E252" s="125">
        <f>MIN(100,H252+IF(I252&gt;=5,'Scoring Rules'!$B$16,IF(I252&gt;=3,'Scoring Rules'!$B$17,IF(I252&gt;=1,'Scoring Rules'!$B$18,'Scoring Rules'!$B$19)))+IF(L252="是",'Scoring Rules'!$B$22,0)+MIN(J252*'Scoring Rules'!$B$23,'Scoring Rules'!$B$24)+IF(M252="是",'Scoring Rules'!$B$25,0)+MIN((IF(K252="",0,LEN(K252)-LEN(SUBSTITUTE(K252,";",""))+1))*'Scoring Rules'!$B$26,'Scoring Rules'!$B$27)+IF(N252="是",'Scoring Rules'!$B$28,0)+IF(O252="是",'Scoring Rules'!$B$29,0)+IF(P252="是",'Scoring Rules'!$B$30,0)+IF(Q252="是",'Scoring Rules'!$B$31,0)+IF(R252="是",'Scoring Rules'!$B$32,0)+IF(S252&gt;=8000,'Scoring Rules'!$B$35,IF(S252&gt;=4000,'Scoring Rules'!$B$36,IF(S252&gt;=2000,'Scoring Rules'!$B$37,'Scoring Rules'!$B$38))))</f>
        <v/>
      </c>
      <c r="F252" s="15" t="inlineStr">
        <is>
          <t>Standard</t>
        </is>
      </c>
      <c r="G252" s="15" t="inlineStr">
        <is>
          <t>Master</t>
        </is>
      </c>
      <c r="H252" s="15" t="n">
        <v>16</v>
      </c>
      <c r="I252" s="15" t="n">
        <v>2</v>
      </c>
      <c r="J252" s="15" t="n">
        <v>13</v>
      </c>
      <c r="K252" s="15" t="str"/>
      <c r="L252" s="15" t="inlineStr">
        <is>
          <t>是</t>
        </is>
      </c>
      <c r="M252" s="15" t="str"/>
      <c r="N252" s="15" t="str"/>
      <c r="O252" s="15" t="inlineStr">
        <is>
          <t>是</t>
        </is>
      </c>
      <c r="P252" s="15" t="str"/>
      <c r="Q252" s="15" t="str"/>
      <c r="R252" s="15" t="inlineStr">
        <is>
          <t>是</t>
        </is>
      </c>
      <c r="S252" s="15" t="n">
        <v>3851</v>
      </c>
      <c r="T252" s="15" t="inlineStr">
        <is>
          <t>Frontend; Backend/API; Mobile; Data/Database; Testing/Automation</t>
        </is>
      </c>
      <c r="U252" s="15" t="inlineStr">
        <is>
          <t>Finance/Banking; Technology; Education/Research</t>
        </is>
      </c>
      <c r="V252" s="15" t="inlineStr">
        <is>
          <t>C:\Workspace\java\scrape_indeed\soft_dav_part_1\410.html#23214</t>
        </is>
      </c>
    </row>
    <row r="253">
      <c r="A253" s="2">
        <f>IF(COUNTIF('Sample 20'!$B$2:$B$21,B253)&gt;0,"是","")</f>
        <v/>
      </c>
      <c r="B253" s="2" t="inlineStr">
        <is>
          <t>22802</t>
        </is>
      </c>
      <c r="C253" s="15" t="inlineStr">
        <is>
          <t>Software Developer</t>
        </is>
      </c>
      <c r="D253" s="15">
        <f>IF(E253&gt;='Scoring Rules'!$B$3,"强",IF(E253&gt;='Scoring Rules'!$B$4,"中","弱"))</f>
        <v/>
      </c>
      <c r="E253" s="125">
        <f>MIN(100,H253+IF(I253&gt;=5,'Scoring Rules'!$B$16,IF(I253&gt;=3,'Scoring Rules'!$B$17,IF(I253&gt;=1,'Scoring Rules'!$B$18,'Scoring Rules'!$B$19)))+IF(L253="是",'Scoring Rules'!$B$22,0)+MIN(J253*'Scoring Rules'!$B$23,'Scoring Rules'!$B$24)+IF(M253="是",'Scoring Rules'!$B$25,0)+MIN((IF(K253="",0,LEN(K253)-LEN(SUBSTITUTE(K253,";",""))+1))*'Scoring Rules'!$B$26,'Scoring Rules'!$B$27)+IF(N253="是",'Scoring Rules'!$B$28,0)+IF(O253="是",'Scoring Rules'!$B$29,0)+IF(P253="是",'Scoring Rules'!$B$30,0)+IF(Q253="是",'Scoring Rules'!$B$31,0)+IF(R253="是",'Scoring Rules'!$B$32,0)+IF(S253&gt;=8000,'Scoring Rules'!$B$35,IF(S253&gt;=4000,'Scoring Rules'!$B$36,IF(S253&gt;=2000,'Scoring Rules'!$B$37,'Scoring Rules'!$B$38))))</f>
        <v/>
      </c>
      <c r="F253" s="15" t="inlineStr">
        <is>
          <t>Standard</t>
        </is>
      </c>
      <c r="G253" s="15" t="inlineStr">
        <is>
          <t>Master</t>
        </is>
      </c>
      <c r="H253" s="15" t="n">
        <v>16</v>
      </c>
      <c r="I253" s="15" t="n">
        <v>1</v>
      </c>
      <c r="J253" s="15" t="n">
        <v>17</v>
      </c>
      <c r="K253" s="15" t="str"/>
      <c r="L253" s="15" t="inlineStr">
        <is>
          <t>是</t>
        </is>
      </c>
      <c r="M253" s="15" t="str"/>
      <c r="N253" s="15" t="str"/>
      <c r="O253" s="15" t="str"/>
      <c r="P253" s="15" t="str"/>
      <c r="Q253" s="15" t="inlineStr">
        <is>
          <t>是</t>
        </is>
      </c>
      <c r="R253" s="15" t="inlineStr">
        <is>
          <t>是</t>
        </is>
      </c>
      <c r="S253" s="15" t="n">
        <v>2258</v>
      </c>
      <c r="T253" s="15" t="inlineStr">
        <is>
          <t>Frontend; Backend/API; Data/Database</t>
        </is>
      </c>
      <c r="U253" s="15" t="inlineStr">
        <is>
          <t>Technology; Education/Research</t>
        </is>
      </c>
      <c r="V253" s="15" t="inlineStr">
        <is>
          <t>C:\Workspace\java\scrape_indeed\soft_dav_part_1\423.html#23228</t>
        </is>
      </c>
    </row>
    <row r="254">
      <c r="A254" s="2">
        <f>IF(COUNTIF('Sample 20'!$B$2:$B$21,B254)&gt;0,"是","")</f>
        <v/>
      </c>
      <c r="B254" s="2" t="inlineStr">
        <is>
          <t>22804</t>
        </is>
      </c>
      <c r="C254" s="15" t="inlineStr">
        <is>
          <t>Software Developer</t>
        </is>
      </c>
      <c r="D254" s="15">
        <f>IF(E254&gt;='Scoring Rules'!$B$3,"强",IF(E254&gt;='Scoring Rules'!$B$4,"中","弱"))</f>
        <v/>
      </c>
      <c r="E254" s="125">
        <f>MIN(100,H254+IF(I254&gt;=5,'Scoring Rules'!$B$16,IF(I254&gt;=3,'Scoring Rules'!$B$17,IF(I254&gt;=1,'Scoring Rules'!$B$18,'Scoring Rules'!$B$19)))+IF(L254="是",'Scoring Rules'!$B$22,0)+MIN(J254*'Scoring Rules'!$B$23,'Scoring Rules'!$B$24)+IF(M254="是",'Scoring Rules'!$B$25,0)+MIN((IF(K254="",0,LEN(K254)-LEN(SUBSTITUTE(K254,";",""))+1))*'Scoring Rules'!$B$26,'Scoring Rules'!$B$27)+IF(N254="是",'Scoring Rules'!$B$28,0)+IF(O254="是",'Scoring Rules'!$B$29,0)+IF(P254="是",'Scoring Rules'!$B$30,0)+IF(Q254="是",'Scoring Rules'!$B$31,0)+IF(R254="是",'Scoring Rules'!$B$32,0)+IF(S254&gt;=8000,'Scoring Rules'!$B$35,IF(S254&gt;=4000,'Scoring Rules'!$B$36,IF(S254&gt;=2000,'Scoring Rules'!$B$37,'Scoring Rules'!$B$38))))</f>
        <v/>
      </c>
      <c r="F254" s="15" t="inlineStr">
        <is>
          <t>Standard</t>
        </is>
      </c>
      <c r="G254" s="15" t="inlineStr">
        <is>
          <t>Unspecified</t>
        </is>
      </c>
      <c r="H254" s="15" t="n">
        <v>2</v>
      </c>
      <c r="I254" s="15" t="n">
        <v>4</v>
      </c>
      <c r="J254" s="15" t="n">
        <v>5</v>
      </c>
      <c r="K254" s="15" t="str"/>
      <c r="L254" s="15" t="inlineStr">
        <is>
          <t>是</t>
        </is>
      </c>
      <c r="M254" s="15" t="str"/>
      <c r="N254" s="15" t="inlineStr">
        <is>
          <t>是</t>
        </is>
      </c>
      <c r="O254" s="15" t="inlineStr">
        <is>
          <t>是</t>
        </is>
      </c>
      <c r="P254" s="15" t="str"/>
      <c r="Q254" s="15" t="str"/>
      <c r="R254" s="15" t="inlineStr">
        <is>
          <t>是</t>
        </is>
      </c>
      <c r="S254" s="15" t="n">
        <v>6600</v>
      </c>
      <c r="T254" s="15" t="inlineStr">
        <is>
          <t>Frontend; Backend/API; Data/Database; Testing/Automation</t>
        </is>
      </c>
      <c r="U254" s="15" t="inlineStr">
        <is>
          <t>Government/Defense; Technology; Education/Research</t>
        </is>
      </c>
      <c r="V254" s="15" t="inlineStr">
        <is>
          <t>C:\Workspace\java\scrape_indeed\soft_dav_part_1\425.html#23230</t>
        </is>
      </c>
    </row>
    <row r="255">
      <c r="A255" s="2">
        <f>IF(COUNTIF('Sample 20'!$B$2:$B$21,B255)&gt;0,"是","")</f>
        <v/>
      </c>
      <c r="B255" s="2" t="inlineStr">
        <is>
          <t>22811</t>
        </is>
      </c>
      <c r="C255" s="15" t="inlineStr">
        <is>
          <t>Software Developer</t>
        </is>
      </c>
      <c r="D255" s="15">
        <f>IF(E255&gt;='Scoring Rules'!$B$3,"强",IF(E255&gt;='Scoring Rules'!$B$4,"中","弱"))</f>
        <v/>
      </c>
      <c r="E255" s="125">
        <f>MIN(100,H255+IF(I255&gt;=5,'Scoring Rules'!$B$16,IF(I255&gt;=3,'Scoring Rules'!$B$17,IF(I255&gt;=1,'Scoring Rules'!$B$18,'Scoring Rules'!$B$19)))+IF(L255="是",'Scoring Rules'!$B$22,0)+MIN(J255*'Scoring Rules'!$B$23,'Scoring Rules'!$B$24)+IF(M255="是",'Scoring Rules'!$B$25,0)+MIN((IF(K255="",0,LEN(K255)-LEN(SUBSTITUTE(K255,";",""))+1))*'Scoring Rules'!$B$26,'Scoring Rules'!$B$27)+IF(N255="是",'Scoring Rules'!$B$28,0)+IF(O255="是",'Scoring Rules'!$B$29,0)+IF(P255="是",'Scoring Rules'!$B$30,0)+IF(Q255="是",'Scoring Rules'!$B$31,0)+IF(R255="是",'Scoring Rules'!$B$32,0)+IF(S255&gt;=8000,'Scoring Rules'!$B$35,IF(S255&gt;=4000,'Scoring Rules'!$B$36,IF(S255&gt;=2000,'Scoring Rules'!$B$37,'Scoring Rules'!$B$38))))</f>
        <v/>
      </c>
      <c r="F255" s="15" t="inlineStr">
        <is>
          <t>Standard</t>
        </is>
      </c>
      <c r="G255" s="15" t="inlineStr">
        <is>
          <t>Unspecified</t>
        </is>
      </c>
      <c r="H255" s="15" t="n">
        <v>2</v>
      </c>
      <c r="I255" s="15" t="n">
        <v>3</v>
      </c>
      <c r="J255" s="15" t="n">
        <v>15</v>
      </c>
      <c r="K255" s="15" t="str"/>
      <c r="L255" s="15" t="inlineStr">
        <is>
          <t>是</t>
        </is>
      </c>
      <c r="M255" s="15" t="str"/>
      <c r="N255" s="15" t="inlineStr">
        <is>
          <t>是</t>
        </is>
      </c>
      <c r="O255" s="15" t="str"/>
      <c r="P255" s="15" t="inlineStr">
        <is>
          <t>是</t>
        </is>
      </c>
      <c r="Q255" s="15" t="str"/>
      <c r="R255" s="15" t="inlineStr">
        <is>
          <t>是</t>
        </is>
      </c>
      <c r="S255" s="15" t="n">
        <v>4263</v>
      </c>
      <c r="T255" s="15" t="inlineStr">
        <is>
          <t>Frontend; Backend/API; Data/Database; Cloud/DevOps; Testing/Automation</t>
        </is>
      </c>
      <c r="U255" s="15" t="inlineStr">
        <is>
          <t>Technology; Education/Research; Retail/E-commerce</t>
        </is>
      </c>
      <c r="V255" s="15" t="inlineStr">
        <is>
          <t>C:\Workspace\java\scrape_indeed\soft_dav_part_1\431.html#23237</t>
        </is>
      </c>
    </row>
    <row r="256">
      <c r="A256" s="2">
        <f>IF(COUNTIF('Sample 20'!$B$2:$B$21,B256)&gt;0,"是","")</f>
        <v/>
      </c>
      <c r="B256" s="2" t="inlineStr">
        <is>
          <t>22821</t>
        </is>
      </c>
      <c r="C256" s="15" t="inlineStr">
        <is>
          <t>Software Developer</t>
        </is>
      </c>
      <c r="D256" s="15">
        <f>IF(E256&gt;='Scoring Rules'!$B$3,"强",IF(E256&gt;='Scoring Rules'!$B$4,"中","弱"))</f>
        <v/>
      </c>
      <c r="E256" s="125">
        <f>MIN(100,H256+IF(I256&gt;=5,'Scoring Rules'!$B$16,IF(I256&gt;=3,'Scoring Rules'!$B$17,IF(I256&gt;=1,'Scoring Rules'!$B$18,'Scoring Rules'!$B$19)))+IF(L256="是",'Scoring Rules'!$B$22,0)+MIN(J256*'Scoring Rules'!$B$23,'Scoring Rules'!$B$24)+IF(M256="是",'Scoring Rules'!$B$25,0)+MIN((IF(K256="",0,LEN(K256)-LEN(SUBSTITUTE(K256,";",""))+1))*'Scoring Rules'!$B$26,'Scoring Rules'!$B$27)+IF(N256="是",'Scoring Rules'!$B$28,0)+IF(O256="是",'Scoring Rules'!$B$29,0)+IF(P256="是",'Scoring Rules'!$B$30,0)+IF(Q256="是",'Scoring Rules'!$B$31,0)+IF(R256="是",'Scoring Rules'!$B$32,0)+IF(S256&gt;=8000,'Scoring Rules'!$B$35,IF(S256&gt;=4000,'Scoring Rules'!$B$36,IF(S256&gt;=2000,'Scoring Rules'!$B$37,'Scoring Rules'!$B$38))))</f>
        <v/>
      </c>
      <c r="F256" s="15" t="inlineStr">
        <is>
          <t>Standard</t>
        </is>
      </c>
      <c r="G256" s="15" t="inlineStr">
        <is>
          <t>Bachelor</t>
        </is>
      </c>
      <c r="H256" s="15" t="n">
        <v>12</v>
      </c>
      <c r="I256" s="15" t="n">
        <v>4</v>
      </c>
      <c r="J256" s="15" t="n">
        <v>14</v>
      </c>
      <c r="K256" s="15" t="str"/>
      <c r="L256" s="15" t="inlineStr">
        <is>
          <t>是</t>
        </is>
      </c>
      <c r="M256" s="15" t="str"/>
      <c r="N256" s="15" t="str"/>
      <c r="O256" s="15" t="str"/>
      <c r="P256" s="15" t="inlineStr">
        <is>
          <t>是</t>
        </is>
      </c>
      <c r="Q256" s="15" t="inlineStr">
        <is>
          <t>是</t>
        </is>
      </c>
      <c r="R256" s="15" t="str"/>
      <c r="S256" s="15" t="n">
        <v>1655</v>
      </c>
      <c r="T256" s="15" t="inlineStr">
        <is>
          <t>Frontend; Backend/API; Data/Database; Cloud/DevOps; Embedded/Systems; Testing/Automation</t>
        </is>
      </c>
      <c r="U256" s="15" t="inlineStr">
        <is>
          <t>Finance/Banking; Technology; Education/Research</t>
        </is>
      </c>
      <c r="V256" s="15" t="inlineStr">
        <is>
          <t>C:\Workspace\java\scrape_indeed\soft_dav_part_1\440.html#23247</t>
        </is>
      </c>
    </row>
    <row r="257">
      <c r="A257" s="2">
        <f>IF(COUNTIF('Sample 20'!$B$2:$B$21,B257)&gt;0,"是","")</f>
        <v/>
      </c>
      <c r="B257" s="2" t="inlineStr">
        <is>
          <t>22823</t>
        </is>
      </c>
      <c r="C257" s="15" t="inlineStr">
        <is>
          <t>Software Developer</t>
        </is>
      </c>
      <c r="D257" s="15">
        <f>IF(E257&gt;='Scoring Rules'!$B$3,"强",IF(E257&gt;='Scoring Rules'!$B$4,"中","弱"))</f>
        <v/>
      </c>
      <c r="E257" s="125">
        <f>MIN(100,H257+IF(I257&gt;=5,'Scoring Rules'!$B$16,IF(I257&gt;=3,'Scoring Rules'!$B$17,IF(I257&gt;=1,'Scoring Rules'!$B$18,'Scoring Rules'!$B$19)))+IF(L257="是",'Scoring Rules'!$B$22,0)+MIN(J257*'Scoring Rules'!$B$23,'Scoring Rules'!$B$24)+IF(M257="是",'Scoring Rules'!$B$25,0)+MIN((IF(K257="",0,LEN(K257)-LEN(SUBSTITUTE(K257,";",""))+1))*'Scoring Rules'!$B$26,'Scoring Rules'!$B$27)+IF(N257="是",'Scoring Rules'!$B$28,0)+IF(O257="是",'Scoring Rules'!$B$29,0)+IF(P257="是",'Scoring Rules'!$B$30,0)+IF(Q257="是",'Scoring Rules'!$B$31,0)+IF(R257="是",'Scoring Rules'!$B$32,0)+IF(S257&gt;=8000,'Scoring Rules'!$B$35,IF(S257&gt;=4000,'Scoring Rules'!$B$36,IF(S257&gt;=2000,'Scoring Rules'!$B$37,'Scoring Rules'!$B$38))))</f>
        <v/>
      </c>
      <c r="F257" s="15" t="inlineStr">
        <is>
          <t>Standard</t>
        </is>
      </c>
      <c r="G257" s="15" t="inlineStr">
        <is>
          <t>Bachelor</t>
        </is>
      </c>
      <c r="H257" s="15" t="n">
        <v>12</v>
      </c>
      <c r="I257" s="15" t="n">
        <v>3</v>
      </c>
      <c r="J257" s="15" t="n">
        <v>24</v>
      </c>
      <c r="K257" s="15" t="str"/>
      <c r="L257" s="15" t="str"/>
      <c r="M257" s="15" t="str"/>
      <c r="N257" s="15" t="str"/>
      <c r="O257" s="15" t="str"/>
      <c r="P257" s="15" t="str"/>
      <c r="Q257" s="15" t="inlineStr">
        <is>
          <t>是</t>
        </is>
      </c>
      <c r="R257" s="15" t="inlineStr">
        <is>
          <t>是</t>
        </is>
      </c>
      <c r="S257" s="15" t="n">
        <v>1735</v>
      </c>
      <c r="T257" s="15" t="inlineStr">
        <is>
          <t>Frontend; Backend/API; Mobile; Data/Database; Cloud/DevOps; Testing/Automation</t>
        </is>
      </c>
      <c r="U257" s="15" t="inlineStr">
        <is>
          <t>Technology; Education/Research</t>
        </is>
      </c>
      <c r="V257" s="15" t="inlineStr">
        <is>
          <t>C:\Workspace\java\scrape_indeed\soft_dav_part_1\442.html#23249</t>
        </is>
      </c>
    </row>
    <row r="258">
      <c r="A258" s="2">
        <f>IF(COUNTIF('Sample 20'!$B$2:$B$21,B258)&gt;0,"是","")</f>
        <v/>
      </c>
      <c r="B258" s="2" t="inlineStr">
        <is>
          <t>22827</t>
        </is>
      </c>
      <c r="C258" s="15" t="inlineStr">
        <is>
          <t>Software Developer</t>
        </is>
      </c>
      <c r="D258" s="15">
        <f>IF(E258&gt;='Scoring Rules'!$B$3,"强",IF(E258&gt;='Scoring Rules'!$B$4,"中","弱"))</f>
        <v/>
      </c>
      <c r="E258" s="125">
        <f>MIN(100,H258+IF(I258&gt;=5,'Scoring Rules'!$B$16,IF(I258&gt;=3,'Scoring Rules'!$B$17,IF(I258&gt;=1,'Scoring Rules'!$B$18,'Scoring Rules'!$B$19)))+IF(L258="是",'Scoring Rules'!$B$22,0)+MIN(J258*'Scoring Rules'!$B$23,'Scoring Rules'!$B$24)+IF(M258="是",'Scoring Rules'!$B$25,0)+MIN((IF(K258="",0,LEN(K258)-LEN(SUBSTITUTE(K258,";",""))+1))*'Scoring Rules'!$B$26,'Scoring Rules'!$B$27)+IF(N258="是",'Scoring Rules'!$B$28,0)+IF(O258="是",'Scoring Rules'!$B$29,0)+IF(P258="是",'Scoring Rules'!$B$30,0)+IF(Q258="是",'Scoring Rules'!$B$31,0)+IF(R258="是",'Scoring Rules'!$B$32,0)+IF(S258&gt;=8000,'Scoring Rules'!$B$35,IF(S258&gt;=4000,'Scoring Rules'!$B$36,IF(S258&gt;=2000,'Scoring Rules'!$B$37,'Scoring Rules'!$B$38))))</f>
        <v/>
      </c>
      <c r="F258" s="15" t="inlineStr">
        <is>
          <t>Standard</t>
        </is>
      </c>
      <c r="G258" s="15" t="inlineStr">
        <is>
          <t>Master</t>
        </is>
      </c>
      <c r="H258" s="15" t="n">
        <v>16</v>
      </c>
      <c r="I258" s="15" t="n">
        <v>5</v>
      </c>
      <c r="J258" s="15" t="n">
        <v>26</v>
      </c>
      <c r="K258" s="15" t="str"/>
      <c r="L258" s="15" t="inlineStr">
        <is>
          <t>是</t>
        </is>
      </c>
      <c r="M258" s="15" t="str"/>
      <c r="N258" s="15" t="str"/>
      <c r="O258" s="15" t="str"/>
      <c r="P258" s="15" t="inlineStr">
        <is>
          <t>是</t>
        </is>
      </c>
      <c r="Q258" s="15" t="inlineStr">
        <is>
          <t>是</t>
        </is>
      </c>
      <c r="R258" s="15" t="inlineStr">
        <is>
          <t>是</t>
        </is>
      </c>
      <c r="S258" s="15" t="n">
        <v>6195</v>
      </c>
      <c r="T258" s="15" t="inlineStr">
        <is>
          <t>Frontend; Backend/API; Data/Database; Cloud/DevOps</t>
        </is>
      </c>
      <c r="U258" s="15" t="inlineStr">
        <is>
          <t>Government/Defense; Technology; Consulting; Education/Research; Retail/E-commerce</t>
        </is>
      </c>
      <c r="V258" s="15" t="inlineStr">
        <is>
          <t>C:\Workspace\java\scrape_indeed\soft_dav_part_1\446.html#23253</t>
        </is>
      </c>
    </row>
    <row r="259">
      <c r="A259" s="2">
        <f>IF(COUNTIF('Sample 20'!$B$2:$B$21,B259)&gt;0,"是","")</f>
        <v/>
      </c>
      <c r="B259" s="2" t="inlineStr">
        <is>
          <t>22828</t>
        </is>
      </c>
      <c r="C259" s="15" t="inlineStr">
        <is>
          <t>SOFTWARE DEVELOPER</t>
        </is>
      </c>
      <c r="D259" s="15">
        <f>IF(E259&gt;='Scoring Rules'!$B$3,"强",IF(E259&gt;='Scoring Rules'!$B$4,"中","弱"))</f>
        <v/>
      </c>
      <c r="E259" s="125">
        <f>MIN(100,H259+IF(I259&gt;=5,'Scoring Rules'!$B$16,IF(I259&gt;=3,'Scoring Rules'!$B$17,IF(I259&gt;=1,'Scoring Rules'!$B$18,'Scoring Rules'!$B$19)))+IF(L259="是",'Scoring Rules'!$B$22,0)+MIN(J259*'Scoring Rules'!$B$23,'Scoring Rules'!$B$24)+IF(M259="是",'Scoring Rules'!$B$25,0)+MIN((IF(K259="",0,LEN(K259)-LEN(SUBSTITUTE(K259,";",""))+1))*'Scoring Rules'!$B$26,'Scoring Rules'!$B$27)+IF(N259="是",'Scoring Rules'!$B$28,0)+IF(O259="是",'Scoring Rules'!$B$29,0)+IF(P259="是",'Scoring Rules'!$B$30,0)+IF(Q259="是",'Scoring Rules'!$B$31,0)+IF(R259="是",'Scoring Rules'!$B$32,0)+IF(S259&gt;=8000,'Scoring Rules'!$B$35,IF(S259&gt;=4000,'Scoring Rules'!$B$36,IF(S259&gt;=2000,'Scoring Rules'!$B$37,'Scoring Rules'!$B$38))))</f>
        <v/>
      </c>
      <c r="F259" s="15" t="inlineStr">
        <is>
          <t>Standard</t>
        </is>
      </c>
      <c r="G259" s="15" t="inlineStr">
        <is>
          <t>High School</t>
        </is>
      </c>
      <c r="H259" s="15" t="n">
        <v>5</v>
      </c>
      <c r="I259" s="15" t="n">
        <v>1</v>
      </c>
      <c r="J259" s="15" t="n">
        <v>11</v>
      </c>
      <c r="K259" s="15" t="str"/>
      <c r="L259" s="15" t="str"/>
      <c r="M259" s="15" t="str"/>
      <c r="N259" s="15" t="str"/>
      <c r="O259" s="15" t="str"/>
      <c r="P259" s="15" t="inlineStr">
        <is>
          <t>是</t>
        </is>
      </c>
      <c r="Q259" s="15" t="inlineStr">
        <is>
          <t>是</t>
        </is>
      </c>
      <c r="R259" s="15" t="inlineStr">
        <is>
          <t>是</t>
        </is>
      </c>
      <c r="S259" s="15" t="n">
        <v>2630</v>
      </c>
      <c r="T259" s="15" t="inlineStr">
        <is>
          <t>Frontend; Backend/API; Data/Database; Testing/Automation</t>
        </is>
      </c>
      <c r="U259" s="15" t="inlineStr">
        <is>
          <t>Technology; Education/Research</t>
        </is>
      </c>
      <c r="V259" s="15" t="inlineStr">
        <is>
          <t>C:\Workspace\java\scrape_indeed\soft_dav_part_1\447.html#23254</t>
        </is>
      </c>
    </row>
    <row r="260">
      <c r="A260" s="2">
        <f>IF(COUNTIF('Sample 20'!$B$2:$B$21,B260)&gt;0,"是","")</f>
        <v/>
      </c>
      <c r="B260" s="2" t="inlineStr">
        <is>
          <t>22831</t>
        </is>
      </c>
      <c r="C260" s="15" t="inlineStr">
        <is>
          <t>Software Developer</t>
        </is>
      </c>
      <c r="D260" s="15">
        <f>IF(E260&gt;='Scoring Rules'!$B$3,"强",IF(E260&gt;='Scoring Rules'!$B$4,"中","弱"))</f>
        <v/>
      </c>
      <c r="E260" s="125">
        <f>MIN(100,H260+IF(I260&gt;=5,'Scoring Rules'!$B$16,IF(I260&gt;=3,'Scoring Rules'!$B$17,IF(I260&gt;=1,'Scoring Rules'!$B$18,'Scoring Rules'!$B$19)))+IF(L260="是",'Scoring Rules'!$B$22,0)+MIN(J260*'Scoring Rules'!$B$23,'Scoring Rules'!$B$24)+IF(M260="是",'Scoring Rules'!$B$25,0)+MIN((IF(K260="",0,LEN(K260)-LEN(SUBSTITUTE(K260,";",""))+1))*'Scoring Rules'!$B$26,'Scoring Rules'!$B$27)+IF(N260="是",'Scoring Rules'!$B$28,0)+IF(O260="是",'Scoring Rules'!$B$29,0)+IF(P260="是",'Scoring Rules'!$B$30,0)+IF(Q260="是",'Scoring Rules'!$B$31,0)+IF(R260="是",'Scoring Rules'!$B$32,0)+IF(S260&gt;=8000,'Scoring Rules'!$B$35,IF(S260&gt;=4000,'Scoring Rules'!$B$36,IF(S260&gt;=2000,'Scoring Rules'!$B$37,'Scoring Rules'!$B$38))))</f>
        <v/>
      </c>
      <c r="F260" s="15" t="inlineStr">
        <is>
          <t>Standard</t>
        </is>
      </c>
      <c r="G260" s="15" t="inlineStr">
        <is>
          <t>Bachelor</t>
        </is>
      </c>
      <c r="H260" s="15" t="n">
        <v>12</v>
      </c>
      <c r="I260" s="15" t="n">
        <v>2</v>
      </c>
      <c r="J260" s="15" t="n">
        <v>14</v>
      </c>
      <c r="K260" s="15" t="str"/>
      <c r="L260" s="15" t="str"/>
      <c r="M260" s="15" t="str"/>
      <c r="N260" s="15" t="str"/>
      <c r="O260" s="15" t="str"/>
      <c r="P260" s="15" t="str"/>
      <c r="Q260" s="15" t="str"/>
      <c r="R260" s="15" t="inlineStr">
        <is>
          <t>是</t>
        </is>
      </c>
      <c r="S260" s="15" t="n">
        <v>4168</v>
      </c>
      <c r="T260" s="15" t="inlineStr">
        <is>
          <t>Frontend; Backend/API; Data/Database; Testing/Automation</t>
        </is>
      </c>
      <c r="U260" s="15" t="inlineStr">
        <is>
          <t>Finance/Banking; Technology; Education/Research</t>
        </is>
      </c>
      <c r="V260" s="15" t="inlineStr">
        <is>
          <t>C:\Workspace\java\scrape_indeed\soft_dav_part_1\45.html#23257</t>
        </is>
      </c>
    </row>
    <row r="261">
      <c r="A261" s="2">
        <f>IF(COUNTIF('Sample 20'!$B$2:$B$21,B261)&gt;0,"是","")</f>
        <v/>
      </c>
      <c r="B261" s="2" t="inlineStr">
        <is>
          <t>22834</t>
        </is>
      </c>
      <c r="C261" s="15" t="inlineStr">
        <is>
          <t>Software Developer</t>
        </is>
      </c>
      <c r="D261" s="15">
        <f>IF(E261&gt;='Scoring Rules'!$B$3,"强",IF(E261&gt;='Scoring Rules'!$B$4,"中","弱"))</f>
        <v/>
      </c>
      <c r="E261" s="125">
        <f>MIN(100,H261+IF(I261&gt;=5,'Scoring Rules'!$B$16,IF(I261&gt;=3,'Scoring Rules'!$B$17,IF(I261&gt;=1,'Scoring Rules'!$B$18,'Scoring Rules'!$B$19)))+IF(L261="是",'Scoring Rules'!$B$22,0)+MIN(J261*'Scoring Rules'!$B$23,'Scoring Rules'!$B$24)+IF(M261="是",'Scoring Rules'!$B$25,0)+MIN((IF(K261="",0,LEN(K261)-LEN(SUBSTITUTE(K261,";",""))+1))*'Scoring Rules'!$B$26,'Scoring Rules'!$B$27)+IF(N261="是",'Scoring Rules'!$B$28,0)+IF(O261="是",'Scoring Rules'!$B$29,0)+IF(P261="是",'Scoring Rules'!$B$30,0)+IF(Q261="是",'Scoring Rules'!$B$31,0)+IF(R261="是",'Scoring Rules'!$B$32,0)+IF(S261&gt;=8000,'Scoring Rules'!$B$35,IF(S261&gt;=4000,'Scoring Rules'!$B$36,IF(S261&gt;=2000,'Scoring Rules'!$B$37,'Scoring Rules'!$B$38))))</f>
        <v/>
      </c>
      <c r="F261" s="15" t="inlineStr">
        <is>
          <t>Standard</t>
        </is>
      </c>
      <c r="G261" s="15" t="inlineStr">
        <is>
          <t>Bachelor</t>
        </is>
      </c>
      <c r="H261" s="15" t="n">
        <v>12</v>
      </c>
      <c r="I261" s="15" t="n">
        <v>2</v>
      </c>
      <c r="J261" s="15" t="n">
        <v>7</v>
      </c>
      <c r="K261" s="15" t="str"/>
      <c r="L261" s="15" t="inlineStr">
        <is>
          <t>是</t>
        </is>
      </c>
      <c r="M261" s="15" t="str"/>
      <c r="N261" s="15" t="str"/>
      <c r="O261" s="15" t="str"/>
      <c r="P261" s="15" t="str"/>
      <c r="Q261" s="15" t="inlineStr">
        <is>
          <t>是</t>
        </is>
      </c>
      <c r="R261" s="15" t="inlineStr">
        <is>
          <t>是</t>
        </is>
      </c>
      <c r="S261" s="15" t="n">
        <v>1848</v>
      </c>
      <c r="T261" s="15" t="inlineStr">
        <is>
          <t>Backend/API; Data/Database; Embedded/Systems</t>
        </is>
      </c>
      <c r="U261" s="15" t="inlineStr">
        <is>
          <t>Finance/Banking; Healthcare; Technology; Education/Research</t>
        </is>
      </c>
      <c r="V261" s="15" t="inlineStr">
        <is>
          <t>C:\Workspace\java\scrape_indeed\soft_dav_part_1\452.html#23260</t>
        </is>
      </c>
    </row>
    <row r="262">
      <c r="A262" s="2">
        <f>IF(COUNTIF('Sample 20'!$B$2:$B$21,B262)&gt;0,"是","")</f>
        <v/>
      </c>
      <c r="B262" s="2" t="inlineStr">
        <is>
          <t>22836</t>
        </is>
      </c>
      <c r="C262" s="15" t="inlineStr">
        <is>
          <t>Software Developer</t>
        </is>
      </c>
      <c r="D262" s="15">
        <f>IF(E262&gt;='Scoring Rules'!$B$3,"强",IF(E262&gt;='Scoring Rules'!$B$4,"中","弱"))</f>
        <v/>
      </c>
      <c r="E262" s="125">
        <f>MIN(100,H262+IF(I262&gt;=5,'Scoring Rules'!$B$16,IF(I262&gt;=3,'Scoring Rules'!$B$17,IF(I262&gt;=1,'Scoring Rules'!$B$18,'Scoring Rules'!$B$19)))+IF(L262="是",'Scoring Rules'!$B$22,0)+MIN(J262*'Scoring Rules'!$B$23,'Scoring Rules'!$B$24)+IF(M262="是",'Scoring Rules'!$B$25,0)+MIN((IF(K262="",0,LEN(K262)-LEN(SUBSTITUTE(K262,";",""))+1))*'Scoring Rules'!$B$26,'Scoring Rules'!$B$27)+IF(N262="是",'Scoring Rules'!$B$28,0)+IF(O262="是",'Scoring Rules'!$B$29,0)+IF(P262="是",'Scoring Rules'!$B$30,0)+IF(Q262="是",'Scoring Rules'!$B$31,0)+IF(R262="是",'Scoring Rules'!$B$32,0)+IF(S262&gt;=8000,'Scoring Rules'!$B$35,IF(S262&gt;=4000,'Scoring Rules'!$B$36,IF(S262&gt;=2000,'Scoring Rules'!$B$37,'Scoring Rules'!$B$38))))</f>
        <v/>
      </c>
      <c r="F262" s="15" t="inlineStr">
        <is>
          <t>Standard</t>
        </is>
      </c>
      <c r="G262" s="15" t="inlineStr">
        <is>
          <t>Bachelor</t>
        </is>
      </c>
      <c r="H262" s="15" t="n">
        <v>12</v>
      </c>
      <c r="I262" s="15" t="n">
        <v>3</v>
      </c>
      <c r="J262" s="15" t="n">
        <v>16</v>
      </c>
      <c r="K262" s="15" t="inlineStr">
        <is>
          <t>Scrum; ITIL</t>
        </is>
      </c>
      <c r="L262" s="15" t="inlineStr">
        <is>
          <t>是</t>
        </is>
      </c>
      <c r="M262" s="15" t="inlineStr">
        <is>
          <t>是</t>
        </is>
      </c>
      <c r="N262" s="15" t="str"/>
      <c r="O262" s="15" t="inlineStr">
        <is>
          <t>是</t>
        </is>
      </c>
      <c r="P262" s="15" t="str"/>
      <c r="Q262" s="15" t="str"/>
      <c r="R262" s="15" t="str"/>
      <c r="S262" s="15" t="n">
        <v>3117</v>
      </c>
      <c r="T262" s="15" t="inlineStr">
        <is>
          <t>Backend/API; Data/Database; Cloud/DevOps; Testing/Automation</t>
        </is>
      </c>
      <c r="U262" s="15" t="inlineStr">
        <is>
          <t>Finance/Banking; Technology; Education/Research</t>
        </is>
      </c>
      <c r="V262" s="15" t="inlineStr">
        <is>
          <t>C:\Workspace\java\scrape_indeed\soft_dav_part_1\455.html#23263</t>
        </is>
      </c>
    </row>
    <row r="263">
      <c r="A263" s="2">
        <f>IF(COUNTIF('Sample 20'!$B$2:$B$21,B263)&gt;0,"是","")</f>
        <v/>
      </c>
      <c r="B263" s="2" t="inlineStr">
        <is>
          <t>22837</t>
        </is>
      </c>
      <c r="C263" s="15" t="inlineStr">
        <is>
          <t>Software Developer</t>
        </is>
      </c>
      <c r="D263" s="15">
        <f>IF(E263&gt;='Scoring Rules'!$B$3,"强",IF(E263&gt;='Scoring Rules'!$B$4,"中","弱"))</f>
        <v/>
      </c>
      <c r="E263" s="125">
        <f>MIN(100,H263+IF(I263&gt;=5,'Scoring Rules'!$B$16,IF(I263&gt;=3,'Scoring Rules'!$B$17,IF(I263&gt;=1,'Scoring Rules'!$B$18,'Scoring Rules'!$B$19)))+IF(L263="是",'Scoring Rules'!$B$22,0)+MIN(J263*'Scoring Rules'!$B$23,'Scoring Rules'!$B$24)+IF(M263="是",'Scoring Rules'!$B$25,0)+MIN((IF(K263="",0,LEN(K263)-LEN(SUBSTITUTE(K263,";",""))+1))*'Scoring Rules'!$B$26,'Scoring Rules'!$B$27)+IF(N263="是",'Scoring Rules'!$B$28,0)+IF(O263="是",'Scoring Rules'!$B$29,0)+IF(P263="是",'Scoring Rules'!$B$30,0)+IF(Q263="是",'Scoring Rules'!$B$31,0)+IF(R263="是",'Scoring Rules'!$B$32,0)+IF(S263&gt;=8000,'Scoring Rules'!$B$35,IF(S263&gt;=4000,'Scoring Rules'!$B$36,IF(S263&gt;=2000,'Scoring Rules'!$B$37,'Scoring Rules'!$B$38))))</f>
        <v/>
      </c>
      <c r="F263" s="15" t="inlineStr">
        <is>
          <t>Standard</t>
        </is>
      </c>
      <c r="G263" s="15" t="inlineStr">
        <is>
          <t>Unspecified</t>
        </is>
      </c>
      <c r="H263" s="15" t="n">
        <v>2</v>
      </c>
      <c r="I263" s="15" t="n">
        <v>1</v>
      </c>
      <c r="J263" s="15" t="n">
        <v>11</v>
      </c>
      <c r="K263" s="15" t="str"/>
      <c r="L263" s="15" t="str"/>
      <c r="M263" s="15" t="str"/>
      <c r="N263" s="15" t="str"/>
      <c r="O263" s="15" t="str"/>
      <c r="P263" s="15" t="str"/>
      <c r="Q263" s="15" t="inlineStr">
        <is>
          <t>是</t>
        </is>
      </c>
      <c r="R263" s="15" t="inlineStr">
        <is>
          <t>是</t>
        </is>
      </c>
      <c r="S263" s="15" t="n">
        <v>6969</v>
      </c>
      <c r="T263" s="15" t="inlineStr">
        <is>
          <t>Frontend; Backend/API; Data/Database</t>
        </is>
      </c>
      <c r="U263" s="15" t="inlineStr">
        <is>
          <t>Government/Defense; Technology; Education/Research</t>
        </is>
      </c>
      <c r="V263" s="15" t="inlineStr">
        <is>
          <t>C:\Workspace\java\scrape_indeed\soft_dav_part_1\456.html#23264</t>
        </is>
      </c>
    </row>
    <row r="264">
      <c r="A264" s="2">
        <f>IF(COUNTIF('Sample 20'!$B$2:$B$21,B264)&gt;0,"是","")</f>
        <v/>
      </c>
      <c r="B264" s="2" t="inlineStr">
        <is>
          <t>22841</t>
        </is>
      </c>
      <c r="C264" s="15" t="inlineStr">
        <is>
          <t>Software Developer</t>
        </is>
      </c>
      <c r="D264" s="15">
        <f>IF(E264&gt;='Scoring Rules'!$B$3,"强",IF(E264&gt;='Scoring Rules'!$B$4,"中","弱"))</f>
        <v/>
      </c>
      <c r="E264" s="125">
        <f>MIN(100,H264+IF(I264&gt;=5,'Scoring Rules'!$B$16,IF(I264&gt;=3,'Scoring Rules'!$B$17,IF(I264&gt;=1,'Scoring Rules'!$B$18,'Scoring Rules'!$B$19)))+IF(L264="是",'Scoring Rules'!$B$22,0)+MIN(J264*'Scoring Rules'!$B$23,'Scoring Rules'!$B$24)+IF(M264="是",'Scoring Rules'!$B$25,0)+MIN((IF(K264="",0,LEN(K264)-LEN(SUBSTITUTE(K264,";",""))+1))*'Scoring Rules'!$B$26,'Scoring Rules'!$B$27)+IF(N264="是",'Scoring Rules'!$B$28,0)+IF(O264="是",'Scoring Rules'!$B$29,0)+IF(P264="是",'Scoring Rules'!$B$30,0)+IF(Q264="是",'Scoring Rules'!$B$31,0)+IF(R264="是",'Scoring Rules'!$B$32,0)+IF(S264&gt;=8000,'Scoring Rules'!$B$35,IF(S264&gt;=4000,'Scoring Rules'!$B$36,IF(S264&gt;=2000,'Scoring Rules'!$B$37,'Scoring Rules'!$B$38))))</f>
        <v/>
      </c>
      <c r="F264" s="15" t="inlineStr">
        <is>
          <t>Standard</t>
        </is>
      </c>
      <c r="G264" s="15" t="inlineStr">
        <is>
          <t>Bachelor</t>
        </is>
      </c>
      <c r="H264" s="15" t="n">
        <v>12</v>
      </c>
      <c r="I264" s="15" t="n">
        <v>2</v>
      </c>
      <c r="J264" s="15" t="n">
        <v>16</v>
      </c>
      <c r="K264" s="15" t="str"/>
      <c r="L264" s="15" t="str"/>
      <c r="M264" s="15" t="str"/>
      <c r="N264" s="15" t="str"/>
      <c r="O264" s="15" t="str"/>
      <c r="P264" s="15" t="str"/>
      <c r="Q264" s="15" t="str"/>
      <c r="R264" s="15" t="str"/>
      <c r="S264" s="15" t="n">
        <v>2740</v>
      </c>
      <c r="T264" s="15" t="inlineStr">
        <is>
          <t>Frontend; Backend/API; Mobile</t>
        </is>
      </c>
      <c r="U264" s="15" t="inlineStr">
        <is>
          <t>Technology; Education/Research</t>
        </is>
      </c>
      <c r="V264" s="15" t="inlineStr">
        <is>
          <t>C:\Workspace\java\scrape_indeed\soft_dav_part_1\46.html#23268</t>
        </is>
      </c>
    </row>
    <row r="265">
      <c r="A265" s="2">
        <f>IF(COUNTIF('Sample 20'!$B$2:$B$21,B265)&gt;0,"是","")</f>
        <v/>
      </c>
      <c r="B265" s="2" t="inlineStr">
        <is>
          <t>22851</t>
        </is>
      </c>
      <c r="C265" s="15" t="inlineStr">
        <is>
          <t>Software Developer</t>
        </is>
      </c>
      <c r="D265" s="15">
        <f>IF(E265&gt;='Scoring Rules'!$B$3,"强",IF(E265&gt;='Scoring Rules'!$B$4,"中","弱"))</f>
        <v/>
      </c>
      <c r="E265" s="125">
        <f>MIN(100,H265+IF(I265&gt;=5,'Scoring Rules'!$B$16,IF(I265&gt;=3,'Scoring Rules'!$B$17,IF(I265&gt;=1,'Scoring Rules'!$B$18,'Scoring Rules'!$B$19)))+IF(L265="是",'Scoring Rules'!$B$22,0)+MIN(J265*'Scoring Rules'!$B$23,'Scoring Rules'!$B$24)+IF(M265="是",'Scoring Rules'!$B$25,0)+MIN((IF(K265="",0,LEN(K265)-LEN(SUBSTITUTE(K265,";",""))+1))*'Scoring Rules'!$B$26,'Scoring Rules'!$B$27)+IF(N265="是",'Scoring Rules'!$B$28,0)+IF(O265="是",'Scoring Rules'!$B$29,0)+IF(P265="是",'Scoring Rules'!$B$30,0)+IF(Q265="是",'Scoring Rules'!$B$31,0)+IF(R265="是",'Scoring Rules'!$B$32,0)+IF(S265&gt;=8000,'Scoring Rules'!$B$35,IF(S265&gt;=4000,'Scoring Rules'!$B$36,IF(S265&gt;=2000,'Scoring Rules'!$B$37,'Scoring Rules'!$B$38))))</f>
        <v/>
      </c>
      <c r="F265" s="15" t="inlineStr">
        <is>
          <t>Standard</t>
        </is>
      </c>
      <c r="G265" s="15" t="inlineStr">
        <is>
          <t>Master</t>
        </is>
      </c>
      <c r="H265" s="15" t="n">
        <v>16</v>
      </c>
      <c r="I265" s="15" t="n">
        <v>4</v>
      </c>
      <c r="J265" s="15" t="n">
        <v>17</v>
      </c>
      <c r="K265" s="15" t="str"/>
      <c r="L265" s="15" t="inlineStr">
        <is>
          <t>是</t>
        </is>
      </c>
      <c r="M265" s="15" t="str"/>
      <c r="N265" s="15" t="str"/>
      <c r="O265" s="15" t="inlineStr">
        <is>
          <t>是</t>
        </is>
      </c>
      <c r="P265" s="15" t="inlineStr">
        <is>
          <t>是</t>
        </is>
      </c>
      <c r="Q265" s="15" t="str"/>
      <c r="R265" s="15" t="inlineStr">
        <is>
          <t>是</t>
        </is>
      </c>
      <c r="S265" s="15" t="n">
        <v>4216</v>
      </c>
      <c r="T265" s="15" t="inlineStr">
        <is>
          <t>Frontend; Backend/API; Data/Database; Embedded/Systems</t>
        </is>
      </c>
      <c r="U265" s="15" t="inlineStr">
        <is>
          <t>Finance/Banking; Technology; Education/Research</t>
        </is>
      </c>
      <c r="V265" s="15" t="inlineStr">
        <is>
          <t>C:\Workspace\java\scrape_indeed\soft_dav_part_1\469.html#23278</t>
        </is>
      </c>
    </row>
    <row r="266">
      <c r="A266" s="2">
        <f>IF(COUNTIF('Sample 20'!$B$2:$B$21,B266)&gt;0,"是","")</f>
        <v/>
      </c>
      <c r="B266" s="2" t="inlineStr">
        <is>
          <t>22852</t>
        </is>
      </c>
      <c r="C266" s="15" t="inlineStr">
        <is>
          <t>Software Developer</t>
        </is>
      </c>
      <c r="D266" s="15">
        <f>IF(E266&gt;='Scoring Rules'!$B$3,"强",IF(E266&gt;='Scoring Rules'!$B$4,"中","弱"))</f>
        <v/>
      </c>
      <c r="E266" s="125">
        <f>MIN(100,H266+IF(I266&gt;=5,'Scoring Rules'!$B$16,IF(I266&gt;=3,'Scoring Rules'!$B$17,IF(I266&gt;=1,'Scoring Rules'!$B$18,'Scoring Rules'!$B$19)))+IF(L266="是",'Scoring Rules'!$B$22,0)+MIN(J266*'Scoring Rules'!$B$23,'Scoring Rules'!$B$24)+IF(M266="是",'Scoring Rules'!$B$25,0)+MIN((IF(K266="",0,LEN(K266)-LEN(SUBSTITUTE(K266,";",""))+1))*'Scoring Rules'!$B$26,'Scoring Rules'!$B$27)+IF(N266="是",'Scoring Rules'!$B$28,0)+IF(O266="是",'Scoring Rules'!$B$29,0)+IF(P266="是",'Scoring Rules'!$B$30,0)+IF(Q266="是",'Scoring Rules'!$B$31,0)+IF(R266="是",'Scoring Rules'!$B$32,0)+IF(S266&gt;=8000,'Scoring Rules'!$B$35,IF(S266&gt;=4000,'Scoring Rules'!$B$36,IF(S266&gt;=2000,'Scoring Rules'!$B$37,'Scoring Rules'!$B$38))))</f>
        <v/>
      </c>
      <c r="F266" s="15" t="inlineStr">
        <is>
          <t>Standard</t>
        </is>
      </c>
      <c r="G266" s="15" t="inlineStr">
        <is>
          <t>Bachelor</t>
        </is>
      </c>
      <c r="H266" s="15" t="n">
        <v>12</v>
      </c>
      <c r="I266" s="15" t="n">
        <v>4</v>
      </c>
      <c r="J266" s="15" t="n">
        <v>16</v>
      </c>
      <c r="K266" s="15" t="str"/>
      <c r="L266" s="15" t="inlineStr">
        <is>
          <t>是</t>
        </is>
      </c>
      <c r="M266" s="15" t="str"/>
      <c r="N266" s="15" t="inlineStr">
        <is>
          <t>是</t>
        </is>
      </c>
      <c r="O266" s="15" t="inlineStr">
        <is>
          <t>是</t>
        </is>
      </c>
      <c r="P266" s="15" t="inlineStr">
        <is>
          <t>是</t>
        </is>
      </c>
      <c r="Q266" s="15" t="str"/>
      <c r="R266" s="15" t="inlineStr">
        <is>
          <t>是</t>
        </is>
      </c>
      <c r="S266" s="15" t="n">
        <v>3391</v>
      </c>
      <c r="T266" s="15" t="inlineStr">
        <is>
          <t>Frontend; Backend/API; Data/Database</t>
        </is>
      </c>
      <c r="U266" s="15" t="inlineStr">
        <is>
          <t>Finance/Banking; Technology; Education/Research</t>
        </is>
      </c>
      <c r="V266" s="15" t="inlineStr">
        <is>
          <t>C:\Workspace\java\scrape_indeed\soft_dav_part_1\47.html#23279</t>
        </is>
      </c>
    </row>
    <row r="267">
      <c r="A267" s="2">
        <f>IF(COUNTIF('Sample 20'!$B$2:$B$21,B267)&gt;0,"是","")</f>
        <v/>
      </c>
      <c r="B267" s="2" t="inlineStr">
        <is>
          <t>22862</t>
        </is>
      </c>
      <c r="C267" s="15" t="inlineStr">
        <is>
          <t>Software Developer</t>
        </is>
      </c>
      <c r="D267" s="15">
        <f>IF(E267&gt;='Scoring Rules'!$B$3,"强",IF(E267&gt;='Scoring Rules'!$B$4,"中","弱"))</f>
        <v/>
      </c>
      <c r="E267" s="125">
        <f>MIN(100,H267+IF(I267&gt;=5,'Scoring Rules'!$B$16,IF(I267&gt;=3,'Scoring Rules'!$B$17,IF(I267&gt;=1,'Scoring Rules'!$B$18,'Scoring Rules'!$B$19)))+IF(L267="是",'Scoring Rules'!$B$22,0)+MIN(J267*'Scoring Rules'!$B$23,'Scoring Rules'!$B$24)+IF(M267="是",'Scoring Rules'!$B$25,0)+MIN((IF(K267="",0,LEN(K267)-LEN(SUBSTITUTE(K267,";",""))+1))*'Scoring Rules'!$B$26,'Scoring Rules'!$B$27)+IF(N267="是",'Scoring Rules'!$B$28,0)+IF(O267="是",'Scoring Rules'!$B$29,0)+IF(P267="是",'Scoring Rules'!$B$30,0)+IF(Q267="是",'Scoring Rules'!$B$31,0)+IF(R267="是",'Scoring Rules'!$B$32,0)+IF(S267&gt;=8000,'Scoring Rules'!$B$35,IF(S267&gt;=4000,'Scoring Rules'!$B$36,IF(S267&gt;=2000,'Scoring Rules'!$B$37,'Scoring Rules'!$B$38))))</f>
        <v/>
      </c>
      <c r="F267" s="15" t="inlineStr">
        <is>
          <t>Standard</t>
        </is>
      </c>
      <c r="G267" s="15" t="inlineStr">
        <is>
          <t>Unspecified</t>
        </is>
      </c>
      <c r="H267" s="15" t="n">
        <v>2</v>
      </c>
      <c r="I267" s="15" t="n">
        <v>2</v>
      </c>
      <c r="J267" s="15" t="n">
        <v>5</v>
      </c>
      <c r="K267" s="15" t="str"/>
      <c r="L267" s="15" t="inlineStr">
        <is>
          <t>是</t>
        </is>
      </c>
      <c r="M267" s="15" t="str"/>
      <c r="N267" s="15" t="str"/>
      <c r="O267" s="15" t="str"/>
      <c r="P267" s="15" t="inlineStr">
        <is>
          <t>是</t>
        </is>
      </c>
      <c r="Q267" s="15" t="str"/>
      <c r="R267" s="15" t="inlineStr">
        <is>
          <t>是</t>
        </is>
      </c>
      <c r="S267" s="15" t="n">
        <v>1809</v>
      </c>
      <c r="T267" s="15" t="inlineStr">
        <is>
          <t>Frontend</t>
        </is>
      </c>
      <c r="U267" s="15" t="inlineStr">
        <is>
          <t>Government/Defense; Technology; Education/Research</t>
        </is>
      </c>
      <c r="V267" s="15" t="inlineStr">
        <is>
          <t>C:\Workspace\java\scrape_indeed\soft_dav_part_1\48.html#23290</t>
        </is>
      </c>
    </row>
    <row r="268">
      <c r="A268" s="2">
        <f>IF(COUNTIF('Sample 20'!$B$2:$B$21,B268)&gt;0,"是","")</f>
        <v/>
      </c>
      <c r="B268" s="2" t="inlineStr">
        <is>
          <t>22866</t>
        </is>
      </c>
      <c r="C268" s="15" t="inlineStr">
        <is>
          <t>Software Developer</t>
        </is>
      </c>
      <c r="D268" s="15">
        <f>IF(E268&gt;='Scoring Rules'!$B$3,"强",IF(E268&gt;='Scoring Rules'!$B$4,"中","弱"))</f>
        <v/>
      </c>
      <c r="E268" s="125">
        <f>MIN(100,H268+IF(I268&gt;=5,'Scoring Rules'!$B$16,IF(I268&gt;=3,'Scoring Rules'!$B$17,IF(I268&gt;=1,'Scoring Rules'!$B$18,'Scoring Rules'!$B$19)))+IF(L268="是",'Scoring Rules'!$B$22,0)+MIN(J268*'Scoring Rules'!$B$23,'Scoring Rules'!$B$24)+IF(M268="是",'Scoring Rules'!$B$25,0)+MIN((IF(K268="",0,LEN(K268)-LEN(SUBSTITUTE(K268,";",""))+1))*'Scoring Rules'!$B$26,'Scoring Rules'!$B$27)+IF(N268="是",'Scoring Rules'!$B$28,0)+IF(O268="是",'Scoring Rules'!$B$29,0)+IF(P268="是",'Scoring Rules'!$B$30,0)+IF(Q268="是",'Scoring Rules'!$B$31,0)+IF(R268="是",'Scoring Rules'!$B$32,0)+IF(S268&gt;=8000,'Scoring Rules'!$B$35,IF(S268&gt;=4000,'Scoring Rules'!$B$36,IF(S268&gt;=2000,'Scoring Rules'!$B$37,'Scoring Rules'!$B$38))))</f>
        <v/>
      </c>
      <c r="F268" s="15" t="inlineStr">
        <is>
          <t>Standard</t>
        </is>
      </c>
      <c r="G268" s="15" t="inlineStr">
        <is>
          <t>Master</t>
        </is>
      </c>
      <c r="H268" s="15" t="n">
        <v>16</v>
      </c>
      <c r="I268" s="15" t="n">
        <v>3</v>
      </c>
      <c r="J268" s="15" t="n">
        <v>12</v>
      </c>
      <c r="K268" s="15" t="str"/>
      <c r="L268" s="15" t="inlineStr">
        <is>
          <t>是</t>
        </is>
      </c>
      <c r="M268" s="15" t="str"/>
      <c r="N268" s="15" t="inlineStr">
        <is>
          <t>是</t>
        </is>
      </c>
      <c r="O268" s="15" t="str"/>
      <c r="P268" s="15" t="str"/>
      <c r="Q268" s="15" t="inlineStr">
        <is>
          <t>是</t>
        </is>
      </c>
      <c r="R268" s="15" t="inlineStr">
        <is>
          <t>是</t>
        </is>
      </c>
      <c r="S268" s="15" t="n">
        <v>4108</v>
      </c>
      <c r="T268" s="15" t="inlineStr">
        <is>
          <t>Frontend; Backend/API; Data/Database; Machine Learning</t>
        </is>
      </c>
      <c r="U268" s="15" t="inlineStr">
        <is>
          <t>Finance/Banking; Technology; Education/Research</t>
        </is>
      </c>
      <c r="V268" s="15" t="inlineStr">
        <is>
          <t>C:\Workspace\java\scrape_indeed\soft_dav_part_1\483.html#23294</t>
        </is>
      </c>
    </row>
    <row r="269">
      <c r="A269" s="2">
        <f>IF(COUNTIF('Sample 20'!$B$2:$B$21,B269)&gt;0,"是","")</f>
        <v/>
      </c>
      <c r="B269" s="2" t="inlineStr">
        <is>
          <t>22873</t>
        </is>
      </c>
      <c r="C269" s="15" t="inlineStr">
        <is>
          <t>Software Developer</t>
        </is>
      </c>
      <c r="D269" s="15">
        <f>IF(E269&gt;='Scoring Rules'!$B$3,"强",IF(E269&gt;='Scoring Rules'!$B$4,"中","弱"))</f>
        <v/>
      </c>
      <c r="E269" s="125">
        <f>MIN(100,H269+IF(I269&gt;=5,'Scoring Rules'!$B$16,IF(I269&gt;=3,'Scoring Rules'!$B$17,IF(I269&gt;=1,'Scoring Rules'!$B$18,'Scoring Rules'!$B$19)))+IF(L269="是",'Scoring Rules'!$B$22,0)+MIN(J269*'Scoring Rules'!$B$23,'Scoring Rules'!$B$24)+IF(M269="是",'Scoring Rules'!$B$25,0)+MIN((IF(K269="",0,LEN(K269)-LEN(SUBSTITUTE(K269,";",""))+1))*'Scoring Rules'!$B$26,'Scoring Rules'!$B$27)+IF(N269="是",'Scoring Rules'!$B$28,0)+IF(O269="是",'Scoring Rules'!$B$29,0)+IF(P269="是",'Scoring Rules'!$B$30,0)+IF(Q269="是",'Scoring Rules'!$B$31,0)+IF(R269="是",'Scoring Rules'!$B$32,0)+IF(S269&gt;=8000,'Scoring Rules'!$B$35,IF(S269&gt;=4000,'Scoring Rules'!$B$36,IF(S269&gt;=2000,'Scoring Rules'!$B$37,'Scoring Rules'!$B$38))))</f>
        <v/>
      </c>
      <c r="F269" s="15" t="inlineStr">
        <is>
          <t>Standard</t>
        </is>
      </c>
      <c r="G269" s="15" t="inlineStr">
        <is>
          <t>Unspecified</t>
        </is>
      </c>
      <c r="H269" s="15" t="n">
        <v>2</v>
      </c>
      <c r="I269" s="15" t="n">
        <v>4</v>
      </c>
      <c r="J269" s="15" t="n">
        <v>8</v>
      </c>
      <c r="K269" s="15" t="str"/>
      <c r="L269" s="15" t="inlineStr">
        <is>
          <t>是</t>
        </is>
      </c>
      <c r="M269" s="15" t="str"/>
      <c r="N269" s="15" t="str"/>
      <c r="O269" s="15" t="str"/>
      <c r="P269" s="15" t="str"/>
      <c r="Q269" s="15" t="inlineStr">
        <is>
          <t>是</t>
        </is>
      </c>
      <c r="R269" s="15" t="str"/>
      <c r="S269" s="15" t="n">
        <v>1614</v>
      </c>
      <c r="T269" s="15" t="inlineStr">
        <is>
          <t>Backend/API; Mobile; Data/Database</t>
        </is>
      </c>
      <c r="U269" s="15" t="inlineStr">
        <is>
          <t>Healthcare; Technology</t>
        </is>
      </c>
      <c r="V269" s="15" t="inlineStr">
        <is>
          <t>C:\Workspace\java\scrape_indeed\soft_dav_part_1\49.html#23301</t>
        </is>
      </c>
    </row>
    <row r="270">
      <c r="A270" s="2">
        <f>IF(COUNTIF('Sample 20'!$B$2:$B$21,B270)&gt;0,"是","")</f>
        <v/>
      </c>
      <c r="B270" s="2" t="inlineStr">
        <is>
          <t>22880</t>
        </is>
      </c>
      <c r="C270" s="15" t="inlineStr">
        <is>
          <t>Software Developer</t>
        </is>
      </c>
      <c r="D270" s="15">
        <f>IF(E270&gt;='Scoring Rules'!$B$3,"强",IF(E270&gt;='Scoring Rules'!$B$4,"中","弱"))</f>
        <v/>
      </c>
      <c r="E270" s="125">
        <f>MIN(100,H270+IF(I270&gt;=5,'Scoring Rules'!$B$16,IF(I270&gt;=3,'Scoring Rules'!$B$17,IF(I270&gt;=1,'Scoring Rules'!$B$18,'Scoring Rules'!$B$19)))+IF(L270="是",'Scoring Rules'!$B$22,0)+MIN(J270*'Scoring Rules'!$B$23,'Scoring Rules'!$B$24)+IF(M270="是",'Scoring Rules'!$B$25,0)+MIN((IF(K270="",0,LEN(K270)-LEN(SUBSTITUTE(K270,";",""))+1))*'Scoring Rules'!$B$26,'Scoring Rules'!$B$27)+IF(N270="是",'Scoring Rules'!$B$28,0)+IF(O270="是",'Scoring Rules'!$B$29,0)+IF(P270="是",'Scoring Rules'!$B$30,0)+IF(Q270="是",'Scoring Rules'!$B$31,0)+IF(R270="是",'Scoring Rules'!$B$32,0)+IF(S270&gt;=8000,'Scoring Rules'!$B$35,IF(S270&gt;=4000,'Scoring Rules'!$B$36,IF(S270&gt;=2000,'Scoring Rules'!$B$37,'Scoring Rules'!$B$38))))</f>
        <v/>
      </c>
      <c r="F270" s="15" t="inlineStr">
        <is>
          <t>Standard</t>
        </is>
      </c>
      <c r="G270" s="15" t="inlineStr">
        <is>
          <t>Unspecified</t>
        </is>
      </c>
      <c r="H270" s="15" t="n">
        <v>2</v>
      </c>
      <c r="I270" s="15" t="n">
        <v>4</v>
      </c>
      <c r="J270" s="15" t="n">
        <v>14</v>
      </c>
      <c r="K270" s="15" t="str"/>
      <c r="L270" s="15" t="inlineStr">
        <is>
          <t>是</t>
        </is>
      </c>
      <c r="M270" s="15" t="str"/>
      <c r="N270" s="15" t="str"/>
      <c r="O270" s="15" t="str"/>
      <c r="P270" s="15" t="str"/>
      <c r="Q270" s="15" t="inlineStr">
        <is>
          <t>是</t>
        </is>
      </c>
      <c r="R270" s="15" t="inlineStr">
        <is>
          <t>是</t>
        </is>
      </c>
      <c r="S270" s="15" t="n">
        <v>5105</v>
      </c>
      <c r="T270" s="15" t="inlineStr">
        <is>
          <t>Frontend; Backend/API; Data/Database</t>
        </is>
      </c>
      <c r="U270" s="15" t="inlineStr">
        <is>
          <t>Finance/Banking; Technology; Consulting; Education/Research; Manufacturing/Automotive</t>
        </is>
      </c>
      <c r="V270" s="15" t="inlineStr">
        <is>
          <t>C:\Workspace\java\scrape_indeed\soft_dav_part_1\496.html#23308</t>
        </is>
      </c>
    </row>
    <row r="271">
      <c r="A271" s="2">
        <f>IF(COUNTIF('Sample 20'!$B$2:$B$21,B271)&gt;0,"是","")</f>
        <v/>
      </c>
      <c r="B271" s="2" t="inlineStr">
        <is>
          <t>22884</t>
        </is>
      </c>
      <c r="C271" s="15" t="inlineStr">
        <is>
          <t>Software Developer</t>
        </is>
      </c>
      <c r="D271" s="15">
        <f>IF(E271&gt;='Scoring Rules'!$B$3,"强",IF(E271&gt;='Scoring Rules'!$B$4,"中","弱"))</f>
        <v/>
      </c>
      <c r="E271" s="125">
        <f>MIN(100,H271+IF(I271&gt;=5,'Scoring Rules'!$B$16,IF(I271&gt;=3,'Scoring Rules'!$B$17,IF(I271&gt;=1,'Scoring Rules'!$B$18,'Scoring Rules'!$B$19)))+IF(L271="是",'Scoring Rules'!$B$22,0)+MIN(J271*'Scoring Rules'!$B$23,'Scoring Rules'!$B$24)+IF(M271="是",'Scoring Rules'!$B$25,0)+MIN((IF(K271="",0,LEN(K271)-LEN(SUBSTITUTE(K271,";",""))+1))*'Scoring Rules'!$B$26,'Scoring Rules'!$B$27)+IF(N271="是",'Scoring Rules'!$B$28,0)+IF(O271="是",'Scoring Rules'!$B$29,0)+IF(P271="是",'Scoring Rules'!$B$30,0)+IF(Q271="是",'Scoring Rules'!$B$31,0)+IF(R271="是",'Scoring Rules'!$B$32,0)+IF(S271&gt;=8000,'Scoring Rules'!$B$35,IF(S271&gt;=4000,'Scoring Rules'!$B$36,IF(S271&gt;=2000,'Scoring Rules'!$B$37,'Scoring Rules'!$B$38))))</f>
        <v/>
      </c>
      <c r="F271" s="15" t="inlineStr">
        <is>
          <t>Standard</t>
        </is>
      </c>
      <c r="G271" s="15" t="inlineStr">
        <is>
          <t>Master</t>
        </is>
      </c>
      <c r="H271" s="15" t="n">
        <v>16</v>
      </c>
      <c r="I271" s="15" t="n">
        <v>2</v>
      </c>
      <c r="J271" s="15" t="n">
        <v>16</v>
      </c>
      <c r="K271" s="15" t="str"/>
      <c r="L271" s="15" t="inlineStr">
        <is>
          <t>是</t>
        </is>
      </c>
      <c r="M271" s="15" t="str"/>
      <c r="N271" s="15" t="str"/>
      <c r="O271" s="15" t="str"/>
      <c r="P271" s="15" t="inlineStr">
        <is>
          <t>是</t>
        </is>
      </c>
      <c r="Q271" s="15" t="inlineStr">
        <is>
          <t>是</t>
        </is>
      </c>
      <c r="R271" s="15" t="inlineStr">
        <is>
          <t>是</t>
        </is>
      </c>
      <c r="S271" s="15" t="n">
        <v>2465</v>
      </c>
      <c r="T271" s="15" t="inlineStr">
        <is>
          <t>Frontend; Backend/API; Data/Database</t>
        </is>
      </c>
      <c r="U271" s="15" t="inlineStr">
        <is>
          <t>Finance/Banking; Technology; Education/Research; Manufacturing/Automotive</t>
        </is>
      </c>
      <c r="V271" s="15" t="inlineStr">
        <is>
          <t>C:\Workspace\java\scrape_indeed\soft_dav_part_1\5.html#23312</t>
        </is>
      </c>
    </row>
    <row r="272">
      <c r="A272" s="2">
        <f>IF(COUNTIF('Sample 20'!$B$2:$B$21,B272)&gt;0,"是","")</f>
        <v/>
      </c>
      <c r="B272" s="2" t="inlineStr">
        <is>
          <t>22898</t>
        </is>
      </c>
      <c r="C272" s="15" t="inlineStr">
        <is>
          <t>Software Developer</t>
        </is>
      </c>
      <c r="D272" s="15">
        <f>IF(E272&gt;='Scoring Rules'!$B$3,"强",IF(E272&gt;='Scoring Rules'!$B$4,"中","弱"))</f>
        <v/>
      </c>
      <c r="E272" s="125">
        <f>MIN(100,H272+IF(I272&gt;=5,'Scoring Rules'!$B$16,IF(I272&gt;=3,'Scoring Rules'!$B$17,IF(I272&gt;=1,'Scoring Rules'!$B$18,'Scoring Rules'!$B$19)))+IF(L272="是",'Scoring Rules'!$B$22,0)+MIN(J272*'Scoring Rules'!$B$23,'Scoring Rules'!$B$24)+IF(M272="是",'Scoring Rules'!$B$25,0)+MIN((IF(K272="",0,LEN(K272)-LEN(SUBSTITUTE(K272,";",""))+1))*'Scoring Rules'!$B$26,'Scoring Rules'!$B$27)+IF(N272="是",'Scoring Rules'!$B$28,0)+IF(O272="是",'Scoring Rules'!$B$29,0)+IF(P272="是",'Scoring Rules'!$B$30,0)+IF(Q272="是",'Scoring Rules'!$B$31,0)+IF(R272="是",'Scoring Rules'!$B$32,0)+IF(S272&gt;=8000,'Scoring Rules'!$B$35,IF(S272&gt;=4000,'Scoring Rules'!$B$36,IF(S272&gt;=2000,'Scoring Rules'!$B$37,'Scoring Rules'!$B$38))))</f>
        <v/>
      </c>
      <c r="F272" s="15" t="inlineStr">
        <is>
          <t>Standard</t>
        </is>
      </c>
      <c r="G272" s="15" t="inlineStr">
        <is>
          <t>Master</t>
        </is>
      </c>
      <c r="H272" s="15" t="n">
        <v>16</v>
      </c>
      <c r="I272" s="15" t="n">
        <v>4</v>
      </c>
      <c r="J272" s="15" t="n">
        <v>7</v>
      </c>
      <c r="K272" s="15" t="str"/>
      <c r="L272" s="15" t="str"/>
      <c r="M272" s="15" t="str"/>
      <c r="N272" s="15" t="str"/>
      <c r="O272" s="15" t="inlineStr">
        <is>
          <t>是</t>
        </is>
      </c>
      <c r="P272" s="15" t="str"/>
      <c r="Q272" s="15" t="str"/>
      <c r="R272" s="15" t="str"/>
      <c r="S272" s="15" t="n">
        <v>1816</v>
      </c>
      <c r="T272" s="15" t="inlineStr">
        <is>
          <t>Frontend; Backend/API; Data/Database</t>
        </is>
      </c>
      <c r="U272" s="15" t="inlineStr">
        <is>
          <t>Finance/Banking; Healthcare; Technology; Education/Research</t>
        </is>
      </c>
      <c r="V272" s="15" t="inlineStr">
        <is>
          <t>C:\Workspace\java\scrape_indeed\soft_dav_part_1\511.html#23326</t>
        </is>
      </c>
    </row>
    <row r="273">
      <c r="A273" s="2">
        <f>IF(COUNTIF('Sample 20'!$B$2:$B$21,B273)&gt;0,"是","")</f>
        <v/>
      </c>
      <c r="B273" s="2" t="inlineStr">
        <is>
          <t>22916</t>
        </is>
      </c>
      <c r="C273" s="15" t="inlineStr">
        <is>
          <t>Software Developer</t>
        </is>
      </c>
      <c r="D273" s="15">
        <f>IF(E273&gt;='Scoring Rules'!$B$3,"强",IF(E273&gt;='Scoring Rules'!$B$4,"中","弱"))</f>
        <v/>
      </c>
      <c r="E273" s="125">
        <f>MIN(100,H273+IF(I273&gt;=5,'Scoring Rules'!$B$16,IF(I273&gt;=3,'Scoring Rules'!$B$17,IF(I273&gt;=1,'Scoring Rules'!$B$18,'Scoring Rules'!$B$19)))+IF(L273="是",'Scoring Rules'!$B$22,0)+MIN(J273*'Scoring Rules'!$B$23,'Scoring Rules'!$B$24)+IF(M273="是",'Scoring Rules'!$B$25,0)+MIN((IF(K273="",0,LEN(K273)-LEN(SUBSTITUTE(K273,";",""))+1))*'Scoring Rules'!$B$26,'Scoring Rules'!$B$27)+IF(N273="是",'Scoring Rules'!$B$28,0)+IF(O273="是",'Scoring Rules'!$B$29,0)+IF(P273="是",'Scoring Rules'!$B$30,0)+IF(Q273="是",'Scoring Rules'!$B$31,0)+IF(R273="是",'Scoring Rules'!$B$32,0)+IF(S273&gt;=8000,'Scoring Rules'!$B$35,IF(S273&gt;=4000,'Scoring Rules'!$B$36,IF(S273&gt;=2000,'Scoring Rules'!$B$37,'Scoring Rules'!$B$38))))</f>
        <v/>
      </c>
      <c r="F273" s="15" t="inlineStr">
        <is>
          <t>Standard</t>
        </is>
      </c>
      <c r="G273" s="15" t="inlineStr">
        <is>
          <t>Unspecified</t>
        </is>
      </c>
      <c r="H273" s="15" t="n">
        <v>2</v>
      </c>
      <c r="I273" s="15" t="n">
        <v>3</v>
      </c>
      <c r="J273" s="15" t="n">
        <v>15</v>
      </c>
      <c r="K273" s="15" t="str"/>
      <c r="L273" s="15" t="inlineStr">
        <is>
          <t>是</t>
        </is>
      </c>
      <c r="M273" s="15" t="str"/>
      <c r="N273" s="15" t="str"/>
      <c r="O273" s="15" t="str"/>
      <c r="P273" s="15" t="inlineStr">
        <is>
          <t>是</t>
        </is>
      </c>
      <c r="Q273" s="15" t="inlineStr">
        <is>
          <t>是</t>
        </is>
      </c>
      <c r="R273" s="15" t="inlineStr">
        <is>
          <t>是</t>
        </is>
      </c>
      <c r="S273" s="15" t="n">
        <v>1559</v>
      </c>
      <c r="T273" s="15" t="inlineStr">
        <is>
          <t>Frontend; Backend/API; Data/Database</t>
        </is>
      </c>
      <c r="U273" s="15" t="inlineStr">
        <is>
          <t>Technology; Education/Research</t>
        </is>
      </c>
      <c r="V273" s="15" t="inlineStr">
        <is>
          <t>C:\Workspace\java\scrape_indeed\soft_dav_part_1\528.html#23344</t>
        </is>
      </c>
    </row>
    <row r="274">
      <c r="A274" s="2">
        <f>IF(COUNTIF('Sample 20'!$B$2:$B$21,B274)&gt;0,"是","")</f>
        <v/>
      </c>
      <c r="B274" s="2" t="inlineStr">
        <is>
          <t>22917</t>
        </is>
      </c>
      <c r="C274" s="15" t="inlineStr">
        <is>
          <t>SOFTWARE DEVELOPER</t>
        </is>
      </c>
      <c r="D274" s="15">
        <f>IF(E274&gt;='Scoring Rules'!$B$3,"强",IF(E274&gt;='Scoring Rules'!$B$4,"中","弱"))</f>
        <v/>
      </c>
      <c r="E274" s="125">
        <f>MIN(100,H274+IF(I274&gt;=5,'Scoring Rules'!$B$16,IF(I274&gt;=3,'Scoring Rules'!$B$17,IF(I274&gt;=1,'Scoring Rules'!$B$18,'Scoring Rules'!$B$19)))+IF(L274="是",'Scoring Rules'!$B$22,0)+MIN(J274*'Scoring Rules'!$B$23,'Scoring Rules'!$B$24)+IF(M274="是",'Scoring Rules'!$B$25,0)+MIN((IF(K274="",0,LEN(K274)-LEN(SUBSTITUTE(K274,";",""))+1))*'Scoring Rules'!$B$26,'Scoring Rules'!$B$27)+IF(N274="是",'Scoring Rules'!$B$28,0)+IF(O274="是",'Scoring Rules'!$B$29,0)+IF(P274="是",'Scoring Rules'!$B$30,0)+IF(Q274="是",'Scoring Rules'!$B$31,0)+IF(R274="是",'Scoring Rules'!$B$32,0)+IF(S274&gt;=8000,'Scoring Rules'!$B$35,IF(S274&gt;=4000,'Scoring Rules'!$B$36,IF(S274&gt;=2000,'Scoring Rules'!$B$37,'Scoring Rules'!$B$38))))</f>
        <v/>
      </c>
      <c r="F274" s="15" t="inlineStr">
        <is>
          <t>Standard</t>
        </is>
      </c>
      <c r="G274" s="15" t="inlineStr">
        <is>
          <t>Bachelor</t>
        </is>
      </c>
      <c r="H274" s="15" t="n">
        <v>12</v>
      </c>
      <c r="I274" s="15" t="n">
        <v>3</v>
      </c>
      <c r="J274" s="15" t="n">
        <v>9</v>
      </c>
      <c r="K274" s="15" t="str"/>
      <c r="L274" s="15" t="str"/>
      <c r="M274" s="15" t="str"/>
      <c r="N274" s="15" t="str"/>
      <c r="O274" s="15" t="str"/>
      <c r="P274" s="15" t="str"/>
      <c r="Q274" s="15" t="inlineStr">
        <is>
          <t>是</t>
        </is>
      </c>
      <c r="R274" s="15" t="str"/>
      <c r="S274" s="15" t="n">
        <v>2350</v>
      </c>
      <c r="T274" s="15" t="inlineStr">
        <is>
          <t>Frontend; Backend/API; Data/Database; Testing/Automation</t>
        </is>
      </c>
      <c r="U274" s="15" t="inlineStr">
        <is>
          <t>Technology; Education/Research</t>
        </is>
      </c>
      <c r="V274" s="15" t="inlineStr">
        <is>
          <t>C:\Workspace\java\scrape_indeed\soft_dav_part_1\529.html#23345</t>
        </is>
      </c>
    </row>
    <row r="275">
      <c r="A275" s="2">
        <f>IF(COUNTIF('Sample 20'!$B$2:$B$21,B275)&gt;0,"是","")</f>
        <v/>
      </c>
      <c r="B275" s="2" t="inlineStr">
        <is>
          <t>22922</t>
        </is>
      </c>
      <c r="C275" s="15" t="inlineStr">
        <is>
          <t>Software Developer</t>
        </is>
      </c>
      <c r="D275" s="15">
        <f>IF(E275&gt;='Scoring Rules'!$B$3,"强",IF(E275&gt;='Scoring Rules'!$B$4,"中","弱"))</f>
        <v/>
      </c>
      <c r="E275" s="125">
        <f>MIN(100,H275+IF(I275&gt;=5,'Scoring Rules'!$B$16,IF(I275&gt;=3,'Scoring Rules'!$B$17,IF(I275&gt;=1,'Scoring Rules'!$B$18,'Scoring Rules'!$B$19)))+IF(L275="是",'Scoring Rules'!$B$22,0)+MIN(J275*'Scoring Rules'!$B$23,'Scoring Rules'!$B$24)+IF(M275="是",'Scoring Rules'!$B$25,0)+MIN((IF(K275="",0,LEN(K275)-LEN(SUBSTITUTE(K275,";",""))+1))*'Scoring Rules'!$B$26,'Scoring Rules'!$B$27)+IF(N275="是",'Scoring Rules'!$B$28,0)+IF(O275="是",'Scoring Rules'!$B$29,0)+IF(P275="是",'Scoring Rules'!$B$30,0)+IF(Q275="是",'Scoring Rules'!$B$31,0)+IF(R275="是",'Scoring Rules'!$B$32,0)+IF(S275&gt;=8000,'Scoring Rules'!$B$35,IF(S275&gt;=4000,'Scoring Rules'!$B$36,IF(S275&gt;=2000,'Scoring Rules'!$B$37,'Scoring Rules'!$B$38))))</f>
        <v/>
      </c>
      <c r="F275" s="15" t="inlineStr">
        <is>
          <t>Standard</t>
        </is>
      </c>
      <c r="G275" s="15" t="inlineStr">
        <is>
          <t>Master</t>
        </is>
      </c>
      <c r="H275" s="15" t="n">
        <v>16</v>
      </c>
      <c r="I275" s="15" t="n">
        <v>2</v>
      </c>
      <c r="J275" s="15" t="n">
        <v>9</v>
      </c>
      <c r="K275" s="15" t="str"/>
      <c r="L275" s="15" t="inlineStr">
        <is>
          <t>是</t>
        </is>
      </c>
      <c r="M275" s="15" t="str"/>
      <c r="N275" s="15" t="str"/>
      <c r="O275" s="15" t="inlineStr">
        <is>
          <t>是</t>
        </is>
      </c>
      <c r="P275" s="15" t="inlineStr">
        <is>
          <t>是</t>
        </is>
      </c>
      <c r="Q275" s="15" t="str"/>
      <c r="R275" s="15" t="str"/>
      <c r="S275" s="15" t="n">
        <v>2064</v>
      </c>
      <c r="T275" s="15" t="inlineStr">
        <is>
          <t>Frontend; Backend/API; Mobile; Data/Database</t>
        </is>
      </c>
      <c r="U275" s="15" t="inlineStr">
        <is>
          <t>Healthcare; Technology; Telecom; Education/Research</t>
        </is>
      </c>
      <c r="V275" s="15" t="inlineStr">
        <is>
          <t>C:\Workspace\java\scrape_indeed\soft_dav_part_1\533.html#23350</t>
        </is>
      </c>
    </row>
    <row r="276">
      <c r="A276" s="2">
        <f>IF(COUNTIF('Sample 20'!$B$2:$B$21,B276)&gt;0,"是","")</f>
        <v/>
      </c>
      <c r="B276" s="2" t="inlineStr">
        <is>
          <t>22924</t>
        </is>
      </c>
      <c r="C276" s="15" t="inlineStr">
        <is>
          <t>Software Developer</t>
        </is>
      </c>
      <c r="D276" s="15">
        <f>IF(E276&gt;='Scoring Rules'!$B$3,"强",IF(E276&gt;='Scoring Rules'!$B$4,"中","弱"))</f>
        <v/>
      </c>
      <c r="E276" s="125">
        <f>MIN(100,H276+IF(I276&gt;=5,'Scoring Rules'!$B$16,IF(I276&gt;=3,'Scoring Rules'!$B$17,IF(I276&gt;=1,'Scoring Rules'!$B$18,'Scoring Rules'!$B$19)))+IF(L276="是",'Scoring Rules'!$B$22,0)+MIN(J276*'Scoring Rules'!$B$23,'Scoring Rules'!$B$24)+IF(M276="是",'Scoring Rules'!$B$25,0)+MIN((IF(K276="",0,LEN(K276)-LEN(SUBSTITUTE(K276,";",""))+1))*'Scoring Rules'!$B$26,'Scoring Rules'!$B$27)+IF(N276="是",'Scoring Rules'!$B$28,0)+IF(O276="是",'Scoring Rules'!$B$29,0)+IF(P276="是",'Scoring Rules'!$B$30,0)+IF(Q276="是",'Scoring Rules'!$B$31,0)+IF(R276="是",'Scoring Rules'!$B$32,0)+IF(S276&gt;=8000,'Scoring Rules'!$B$35,IF(S276&gt;=4000,'Scoring Rules'!$B$36,IF(S276&gt;=2000,'Scoring Rules'!$B$37,'Scoring Rules'!$B$38))))</f>
        <v/>
      </c>
      <c r="F276" s="15" t="inlineStr">
        <is>
          <t>Standard</t>
        </is>
      </c>
      <c r="G276" s="15" t="inlineStr">
        <is>
          <t>Bachelor</t>
        </is>
      </c>
      <c r="H276" s="15" t="n">
        <v>12</v>
      </c>
      <c r="I276" s="15" t="n">
        <v>4</v>
      </c>
      <c r="J276" s="15" t="n">
        <v>14</v>
      </c>
      <c r="K276" s="15" t="str"/>
      <c r="L276" s="15" t="inlineStr">
        <is>
          <t>是</t>
        </is>
      </c>
      <c r="M276" s="15" t="str"/>
      <c r="N276" s="15" t="str"/>
      <c r="O276" s="15" t="str"/>
      <c r="P276" s="15" t="str"/>
      <c r="Q276" s="15" t="str"/>
      <c r="R276" s="15" t="str"/>
      <c r="S276" s="15" t="n">
        <v>2079</v>
      </c>
      <c r="T276" s="15" t="inlineStr">
        <is>
          <t>Frontend; Backend/API; Mobile; Data/Database; Embedded/Systems</t>
        </is>
      </c>
      <c r="U276" s="15" t="inlineStr">
        <is>
          <t>Technology; Education/Research</t>
        </is>
      </c>
      <c r="V276" s="15" t="inlineStr">
        <is>
          <t>C:\Workspace\java\scrape_indeed\soft_dav_part_1\535.html#23352</t>
        </is>
      </c>
    </row>
    <row r="277">
      <c r="A277" s="2">
        <f>IF(COUNTIF('Sample 20'!$B$2:$B$21,B277)&gt;0,"是","")</f>
        <v/>
      </c>
      <c r="B277" s="2" t="inlineStr">
        <is>
          <t>22925</t>
        </is>
      </c>
      <c r="C277" s="15" t="inlineStr">
        <is>
          <t>Software Developer</t>
        </is>
      </c>
      <c r="D277" s="15">
        <f>IF(E277&gt;='Scoring Rules'!$B$3,"强",IF(E277&gt;='Scoring Rules'!$B$4,"中","弱"))</f>
        <v/>
      </c>
      <c r="E277" s="125">
        <f>MIN(100,H277+IF(I277&gt;=5,'Scoring Rules'!$B$16,IF(I277&gt;=3,'Scoring Rules'!$B$17,IF(I277&gt;=1,'Scoring Rules'!$B$18,'Scoring Rules'!$B$19)))+IF(L277="是",'Scoring Rules'!$B$22,0)+MIN(J277*'Scoring Rules'!$B$23,'Scoring Rules'!$B$24)+IF(M277="是",'Scoring Rules'!$B$25,0)+MIN((IF(K277="",0,LEN(K277)-LEN(SUBSTITUTE(K277,";",""))+1))*'Scoring Rules'!$B$26,'Scoring Rules'!$B$27)+IF(N277="是",'Scoring Rules'!$B$28,0)+IF(O277="是",'Scoring Rules'!$B$29,0)+IF(P277="是",'Scoring Rules'!$B$30,0)+IF(Q277="是",'Scoring Rules'!$B$31,0)+IF(R277="是",'Scoring Rules'!$B$32,0)+IF(S277&gt;=8000,'Scoring Rules'!$B$35,IF(S277&gt;=4000,'Scoring Rules'!$B$36,IF(S277&gt;=2000,'Scoring Rules'!$B$37,'Scoring Rules'!$B$38))))</f>
        <v/>
      </c>
      <c r="F277" s="15" t="inlineStr">
        <is>
          <t>Standard</t>
        </is>
      </c>
      <c r="G277" s="15" t="inlineStr">
        <is>
          <t>Unspecified</t>
        </is>
      </c>
      <c r="H277" s="15" t="n">
        <v>0</v>
      </c>
      <c r="I277" s="15" t="n">
        <v>3</v>
      </c>
      <c r="J277" s="15" t="n">
        <v>7</v>
      </c>
      <c r="K277" s="15" t="str"/>
      <c r="L277" s="15" t="str"/>
      <c r="M277" s="15" t="str"/>
      <c r="N277" s="15" t="str"/>
      <c r="O277" s="15" t="str"/>
      <c r="P277" s="15" t="str"/>
      <c r="Q277" s="15" t="str"/>
      <c r="R277" s="15" t="inlineStr">
        <is>
          <t>是</t>
        </is>
      </c>
      <c r="S277" s="15" t="n">
        <v>2087</v>
      </c>
      <c r="T277" s="15" t="inlineStr">
        <is>
          <t>Frontend; Backend/API; Data/Database; Embedded/Systems</t>
        </is>
      </c>
      <c r="U277" s="15" t="inlineStr">
        <is>
          <t>Technology; Consulting</t>
        </is>
      </c>
      <c r="V277" s="15" t="inlineStr">
        <is>
          <t>C:\Workspace\java\scrape_indeed\soft_dav_part_1\536.html#23353</t>
        </is>
      </c>
    </row>
    <row r="278">
      <c r="A278" s="2">
        <f>IF(COUNTIF('Sample 20'!$B$2:$B$21,B278)&gt;0,"是","")</f>
        <v/>
      </c>
      <c r="B278" s="2" t="inlineStr">
        <is>
          <t>22926</t>
        </is>
      </c>
      <c r="C278" s="15" t="inlineStr">
        <is>
          <t>Software Developer</t>
        </is>
      </c>
      <c r="D278" s="15">
        <f>IF(E278&gt;='Scoring Rules'!$B$3,"强",IF(E278&gt;='Scoring Rules'!$B$4,"中","弱"))</f>
        <v/>
      </c>
      <c r="E278" s="125">
        <f>MIN(100,H278+IF(I278&gt;=5,'Scoring Rules'!$B$16,IF(I278&gt;=3,'Scoring Rules'!$B$17,IF(I278&gt;=1,'Scoring Rules'!$B$18,'Scoring Rules'!$B$19)))+IF(L278="是",'Scoring Rules'!$B$22,0)+MIN(J278*'Scoring Rules'!$B$23,'Scoring Rules'!$B$24)+IF(M278="是",'Scoring Rules'!$B$25,0)+MIN((IF(K278="",0,LEN(K278)-LEN(SUBSTITUTE(K278,";",""))+1))*'Scoring Rules'!$B$26,'Scoring Rules'!$B$27)+IF(N278="是",'Scoring Rules'!$B$28,0)+IF(O278="是",'Scoring Rules'!$B$29,0)+IF(P278="是",'Scoring Rules'!$B$30,0)+IF(Q278="是",'Scoring Rules'!$B$31,0)+IF(R278="是",'Scoring Rules'!$B$32,0)+IF(S278&gt;=8000,'Scoring Rules'!$B$35,IF(S278&gt;=4000,'Scoring Rules'!$B$36,IF(S278&gt;=2000,'Scoring Rules'!$B$37,'Scoring Rules'!$B$38))))</f>
        <v/>
      </c>
      <c r="F278" s="15" t="inlineStr">
        <is>
          <t>Standard</t>
        </is>
      </c>
      <c r="G278" s="15" t="inlineStr">
        <is>
          <t>Unspecified</t>
        </is>
      </c>
      <c r="H278" s="15" t="n">
        <v>2</v>
      </c>
      <c r="I278" s="15" t="n">
        <v>3</v>
      </c>
      <c r="J278" s="15" t="n">
        <v>15</v>
      </c>
      <c r="K278" s="15" t="str"/>
      <c r="L278" s="15" t="inlineStr">
        <is>
          <t>是</t>
        </is>
      </c>
      <c r="M278" s="15" t="str"/>
      <c r="N278" s="15" t="str"/>
      <c r="O278" s="15" t="str"/>
      <c r="P278" s="15" t="str"/>
      <c r="Q278" s="15" t="inlineStr">
        <is>
          <t>是</t>
        </is>
      </c>
      <c r="R278" s="15" t="inlineStr">
        <is>
          <t>是</t>
        </is>
      </c>
      <c r="S278" s="15" t="n">
        <v>2253</v>
      </c>
      <c r="T278" s="15" t="inlineStr">
        <is>
          <t>Frontend; Backend/API; Data/Database; Cloud/DevOps; Testing/Automation</t>
        </is>
      </c>
      <c r="U278" s="15" t="inlineStr">
        <is>
          <t>Finance/Banking; Technology; Education/Research; Retail/E-commerce</t>
        </is>
      </c>
      <c r="V278" s="15" t="inlineStr">
        <is>
          <t>C:\Workspace\java\scrape_indeed\soft_dav_part_1\537.html#23354</t>
        </is>
      </c>
    </row>
    <row r="279">
      <c r="A279" s="2">
        <f>IF(COUNTIF('Sample 20'!$B$2:$B$21,B279)&gt;0,"是","")</f>
        <v/>
      </c>
      <c r="B279" s="2" t="inlineStr">
        <is>
          <t>22927</t>
        </is>
      </c>
      <c r="C279" s="15" t="inlineStr">
        <is>
          <t>Software Developer</t>
        </is>
      </c>
      <c r="D279" s="15">
        <f>IF(E279&gt;='Scoring Rules'!$B$3,"强",IF(E279&gt;='Scoring Rules'!$B$4,"中","弱"))</f>
        <v/>
      </c>
      <c r="E279" s="125">
        <f>MIN(100,H279+IF(I279&gt;=5,'Scoring Rules'!$B$16,IF(I279&gt;=3,'Scoring Rules'!$B$17,IF(I279&gt;=1,'Scoring Rules'!$B$18,'Scoring Rules'!$B$19)))+IF(L279="是",'Scoring Rules'!$B$22,0)+MIN(J279*'Scoring Rules'!$B$23,'Scoring Rules'!$B$24)+IF(M279="是",'Scoring Rules'!$B$25,0)+MIN((IF(K279="",0,LEN(K279)-LEN(SUBSTITUTE(K279,";",""))+1))*'Scoring Rules'!$B$26,'Scoring Rules'!$B$27)+IF(N279="是",'Scoring Rules'!$B$28,0)+IF(O279="是",'Scoring Rules'!$B$29,0)+IF(P279="是",'Scoring Rules'!$B$30,0)+IF(Q279="是",'Scoring Rules'!$B$31,0)+IF(R279="是",'Scoring Rules'!$B$32,0)+IF(S279&gt;=8000,'Scoring Rules'!$B$35,IF(S279&gt;=4000,'Scoring Rules'!$B$36,IF(S279&gt;=2000,'Scoring Rules'!$B$37,'Scoring Rules'!$B$38))))</f>
        <v/>
      </c>
      <c r="F279" s="15" t="inlineStr">
        <is>
          <t>Standard</t>
        </is>
      </c>
      <c r="G279" s="15" t="inlineStr">
        <is>
          <t>Bachelor</t>
        </is>
      </c>
      <c r="H279" s="15" t="n">
        <v>12</v>
      </c>
      <c r="I279" s="15" t="n">
        <v>4</v>
      </c>
      <c r="J279" s="15" t="n">
        <v>6</v>
      </c>
      <c r="K279" s="15" t="str"/>
      <c r="L279" s="15" t="inlineStr">
        <is>
          <t>是</t>
        </is>
      </c>
      <c r="M279" s="15" t="str"/>
      <c r="N279" s="15" t="inlineStr">
        <is>
          <t>是</t>
        </is>
      </c>
      <c r="O279" s="15" t="str"/>
      <c r="P279" s="15" t="str"/>
      <c r="Q279" s="15" t="str"/>
      <c r="R279" s="15" t="inlineStr">
        <is>
          <t>是</t>
        </is>
      </c>
      <c r="S279" s="15" t="n">
        <v>1923</v>
      </c>
      <c r="T279" s="15" t="inlineStr">
        <is>
          <t>Frontend; Backend/API; Data/Database</t>
        </is>
      </c>
      <c r="U279" s="15" t="inlineStr">
        <is>
          <t>Technology; Education/Research</t>
        </is>
      </c>
      <c r="V279" s="15" t="inlineStr">
        <is>
          <t>C:\Workspace\java\scrape_indeed\soft_dav_part_1\538.html#23355</t>
        </is>
      </c>
    </row>
    <row r="280">
      <c r="A280" s="2">
        <f>IF(COUNTIF('Sample 20'!$B$2:$B$21,B280)&gt;0,"是","")</f>
        <v/>
      </c>
      <c r="B280" s="2" t="inlineStr">
        <is>
          <t>22931</t>
        </is>
      </c>
      <c r="C280" s="15" t="inlineStr">
        <is>
          <t>Software Developer</t>
        </is>
      </c>
      <c r="D280" s="15">
        <f>IF(E280&gt;='Scoring Rules'!$B$3,"强",IF(E280&gt;='Scoring Rules'!$B$4,"中","弱"))</f>
        <v/>
      </c>
      <c r="E280" s="125">
        <f>MIN(100,H280+IF(I280&gt;=5,'Scoring Rules'!$B$16,IF(I280&gt;=3,'Scoring Rules'!$B$17,IF(I280&gt;=1,'Scoring Rules'!$B$18,'Scoring Rules'!$B$19)))+IF(L280="是",'Scoring Rules'!$B$22,0)+MIN(J280*'Scoring Rules'!$B$23,'Scoring Rules'!$B$24)+IF(M280="是",'Scoring Rules'!$B$25,0)+MIN((IF(K280="",0,LEN(K280)-LEN(SUBSTITUTE(K280,";",""))+1))*'Scoring Rules'!$B$26,'Scoring Rules'!$B$27)+IF(N280="是",'Scoring Rules'!$B$28,0)+IF(O280="是",'Scoring Rules'!$B$29,0)+IF(P280="是",'Scoring Rules'!$B$30,0)+IF(Q280="是",'Scoring Rules'!$B$31,0)+IF(R280="是",'Scoring Rules'!$B$32,0)+IF(S280&gt;=8000,'Scoring Rules'!$B$35,IF(S280&gt;=4000,'Scoring Rules'!$B$36,IF(S280&gt;=2000,'Scoring Rules'!$B$37,'Scoring Rules'!$B$38))))</f>
        <v/>
      </c>
      <c r="F280" s="15" t="inlineStr">
        <is>
          <t>Standard</t>
        </is>
      </c>
      <c r="G280" s="15" t="inlineStr">
        <is>
          <t>Master</t>
        </is>
      </c>
      <c r="H280" s="15" t="n">
        <v>16</v>
      </c>
      <c r="I280" s="15" t="n">
        <v>5</v>
      </c>
      <c r="J280" s="15" t="n">
        <v>8</v>
      </c>
      <c r="K280" s="15" t="str"/>
      <c r="L280" s="15" t="inlineStr">
        <is>
          <t>是</t>
        </is>
      </c>
      <c r="M280" s="15" t="str"/>
      <c r="N280" s="15" t="str"/>
      <c r="O280" s="15" t="str"/>
      <c r="P280" s="15" t="str"/>
      <c r="Q280" s="15" t="str"/>
      <c r="R280" s="15" t="str"/>
      <c r="S280" s="15" t="n">
        <v>1583</v>
      </c>
      <c r="T280" s="15" t="inlineStr">
        <is>
          <t>Frontend; Data/Database; Testing/Automation</t>
        </is>
      </c>
      <c r="U280" s="15" t="inlineStr">
        <is>
          <t>Technology; Education/Research</t>
        </is>
      </c>
      <c r="V280" s="15" t="inlineStr">
        <is>
          <t>C:\Workspace\java\scrape_indeed\soft_dav_part_1\541.html#23359</t>
        </is>
      </c>
    </row>
    <row r="281">
      <c r="A281" s="2">
        <f>IF(COUNTIF('Sample 20'!$B$2:$B$21,B281)&gt;0,"是","")</f>
        <v/>
      </c>
      <c r="B281" s="2" t="inlineStr">
        <is>
          <t>22936</t>
        </is>
      </c>
      <c r="C281" s="15" t="inlineStr">
        <is>
          <t>Software Developer</t>
        </is>
      </c>
      <c r="D281" s="15">
        <f>IF(E281&gt;='Scoring Rules'!$B$3,"强",IF(E281&gt;='Scoring Rules'!$B$4,"中","弱"))</f>
        <v/>
      </c>
      <c r="E281" s="125">
        <f>MIN(100,H281+IF(I281&gt;=5,'Scoring Rules'!$B$16,IF(I281&gt;=3,'Scoring Rules'!$B$17,IF(I281&gt;=1,'Scoring Rules'!$B$18,'Scoring Rules'!$B$19)))+IF(L281="是",'Scoring Rules'!$B$22,0)+MIN(J281*'Scoring Rules'!$B$23,'Scoring Rules'!$B$24)+IF(M281="是",'Scoring Rules'!$B$25,0)+MIN((IF(K281="",0,LEN(K281)-LEN(SUBSTITUTE(K281,";",""))+1))*'Scoring Rules'!$B$26,'Scoring Rules'!$B$27)+IF(N281="是",'Scoring Rules'!$B$28,0)+IF(O281="是",'Scoring Rules'!$B$29,0)+IF(P281="是",'Scoring Rules'!$B$30,0)+IF(Q281="是",'Scoring Rules'!$B$31,0)+IF(R281="是",'Scoring Rules'!$B$32,0)+IF(S281&gt;=8000,'Scoring Rules'!$B$35,IF(S281&gt;=4000,'Scoring Rules'!$B$36,IF(S281&gt;=2000,'Scoring Rules'!$B$37,'Scoring Rules'!$B$38))))</f>
        <v/>
      </c>
      <c r="F281" s="15" t="inlineStr">
        <is>
          <t>Standard</t>
        </is>
      </c>
      <c r="G281" s="15" t="inlineStr">
        <is>
          <t>Bachelor</t>
        </is>
      </c>
      <c r="H281" s="15" t="n">
        <v>12</v>
      </c>
      <c r="I281" s="15" t="n">
        <v>5</v>
      </c>
      <c r="J281" s="15" t="n">
        <v>11</v>
      </c>
      <c r="K281" s="15" t="str"/>
      <c r="L281" s="15" t="inlineStr">
        <is>
          <t>是</t>
        </is>
      </c>
      <c r="M281" s="15" t="inlineStr">
        <is>
          <t>是</t>
        </is>
      </c>
      <c r="N281" s="15" t="str"/>
      <c r="O281" s="15" t="str"/>
      <c r="P281" s="15" t="str"/>
      <c r="Q281" s="15" t="str"/>
      <c r="R281" s="15" t="inlineStr">
        <is>
          <t>是</t>
        </is>
      </c>
      <c r="S281" s="15" t="n">
        <v>3419</v>
      </c>
      <c r="T281" s="15" t="inlineStr">
        <is>
          <t>Frontend; Backend/API; Data/Database</t>
        </is>
      </c>
      <c r="U281" s="15" t="inlineStr">
        <is>
          <t>Finance/Banking; Government/Defense; Technology; Education/Research</t>
        </is>
      </c>
      <c r="V281" s="15" t="inlineStr">
        <is>
          <t>C:\Workspace\java\scrape_indeed\soft_dav_part_1\546.html#23364</t>
        </is>
      </c>
    </row>
    <row r="282">
      <c r="A282" s="2">
        <f>IF(COUNTIF('Sample 20'!$B$2:$B$21,B282)&gt;0,"是","")</f>
        <v/>
      </c>
      <c r="B282" s="2" t="inlineStr">
        <is>
          <t>22945</t>
        </is>
      </c>
      <c r="C282" s="15" t="inlineStr">
        <is>
          <t>Software Developer</t>
        </is>
      </c>
      <c r="D282" s="15">
        <f>IF(E282&gt;='Scoring Rules'!$B$3,"强",IF(E282&gt;='Scoring Rules'!$B$4,"中","弱"))</f>
        <v/>
      </c>
      <c r="E282" s="125">
        <f>MIN(100,H282+IF(I282&gt;=5,'Scoring Rules'!$B$16,IF(I282&gt;=3,'Scoring Rules'!$B$17,IF(I282&gt;=1,'Scoring Rules'!$B$18,'Scoring Rules'!$B$19)))+IF(L282="是",'Scoring Rules'!$B$22,0)+MIN(J282*'Scoring Rules'!$B$23,'Scoring Rules'!$B$24)+IF(M282="是",'Scoring Rules'!$B$25,0)+MIN((IF(K282="",0,LEN(K282)-LEN(SUBSTITUTE(K282,";",""))+1))*'Scoring Rules'!$B$26,'Scoring Rules'!$B$27)+IF(N282="是",'Scoring Rules'!$B$28,0)+IF(O282="是",'Scoring Rules'!$B$29,0)+IF(P282="是",'Scoring Rules'!$B$30,0)+IF(Q282="是",'Scoring Rules'!$B$31,0)+IF(R282="是",'Scoring Rules'!$B$32,0)+IF(S282&gt;=8000,'Scoring Rules'!$B$35,IF(S282&gt;=4000,'Scoring Rules'!$B$36,IF(S282&gt;=2000,'Scoring Rules'!$B$37,'Scoring Rules'!$B$38))))</f>
        <v/>
      </c>
      <c r="F282" s="15" t="inlineStr">
        <is>
          <t>Standard</t>
        </is>
      </c>
      <c r="G282" s="15" t="inlineStr">
        <is>
          <t>Unspecified</t>
        </is>
      </c>
      <c r="H282" s="15" t="n">
        <v>2</v>
      </c>
      <c r="I282" s="15" t="n">
        <v>1</v>
      </c>
      <c r="J282" s="15" t="n">
        <v>14</v>
      </c>
      <c r="K282" s="15" t="str"/>
      <c r="L282" s="15" t="inlineStr">
        <is>
          <t>是</t>
        </is>
      </c>
      <c r="M282" s="15" t="str"/>
      <c r="N282" s="15" t="str"/>
      <c r="O282" s="15" t="str"/>
      <c r="P282" s="15" t="str"/>
      <c r="Q282" s="15" t="inlineStr">
        <is>
          <t>是</t>
        </is>
      </c>
      <c r="R282" s="15" t="inlineStr">
        <is>
          <t>是</t>
        </is>
      </c>
      <c r="S282" s="15" t="n">
        <v>2113</v>
      </c>
      <c r="T282" s="15" t="inlineStr">
        <is>
          <t>Frontend; Backend/API; Data/Database</t>
        </is>
      </c>
      <c r="U282" s="15" t="inlineStr">
        <is>
          <t>Finance/Banking; Technology; Education/Research</t>
        </is>
      </c>
      <c r="V282" s="15" t="inlineStr">
        <is>
          <t>C:\Workspace\java\scrape_indeed\soft_dav_part_1\554.html#23373</t>
        </is>
      </c>
    </row>
    <row r="283">
      <c r="A283" s="2">
        <f>IF(COUNTIF('Sample 20'!$B$2:$B$21,B283)&gt;0,"是","")</f>
        <v/>
      </c>
      <c r="B283" s="2" t="inlineStr">
        <is>
          <t>22947</t>
        </is>
      </c>
      <c r="C283" s="15" t="inlineStr">
        <is>
          <t>Software Developer</t>
        </is>
      </c>
      <c r="D283" s="15">
        <f>IF(E283&gt;='Scoring Rules'!$B$3,"强",IF(E283&gt;='Scoring Rules'!$B$4,"中","弱"))</f>
        <v/>
      </c>
      <c r="E283" s="125">
        <f>MIN(100,H283+IF(I283&gt;=5,'Scoring Rules'!$B$16,IF(I283&gt;=3,'Scoring Rules'!$B$17,IF(I283&gt;=1,'Scoring Rules'!$B$18,'Scoring Rules'!$B$19)))+IF(L283="是",'Scoring Rules'!$B$22,0)+MIN(J283*'Scoring Rules'!$B$23,'Scoring Rules'!$B$24)+IF(M283="是",'Scoring Rules'!$B$25,0)+MIN((IF(K283="",0,LEN(K283)-LEN(SUBSTITUTE(K283,";",""))+1))*'Scoring Rules'!$B$26,'Scoring Rules'!$B$27)+IF(N283="是",'Scoring Rules'!$B$28,0)+IF(O283="是",'Scoring Rules'!$B$29,0)+IF(P283="是",'Scoring Rules'!$B$30,0)+IF(Q283="是",'Scoring Rules'!$B$31,0)+IF(R283="是",'Scoring Rules'!$B$32,0)+IF(S283&gt;=8000,'Scoring Rules'!$B$35,IF(S283&gt;=4000,'Scoring Rules'!$B$36,IF(S283&gt;=2000,'Scoring Rules'!$B$37,'Scoring Rules'!$B$38))))</f>
        <v/>
      </c>
      <c r="F283" s="15" t="inlineStr">
        <is>
          <t>Standard</t>
        </is>
      </c>
      <c r="G283" s="15" t="inlineStr">
        <is>
          <t>Bachelor</t>
        </is>
      </c>
      <c r="H283" s="15" t="n">
        <v>12</v>
      </c>
      <c r="I283" s="15" t="n">
        <v>1</v>
      </c>
      <c r="J283" s="15" t="n">
        <v>9</v>
      </c>
      <c r="K283" s="15" t="str"/>
      <c r="L283" s="15" t="inlineStr">
        <is>
          <t>是</t>
        </is>
      </c>
      <c r="M283" s="15" t="str"/>
      <c r="N283" s="15" t="str"/>
      <c r="O283" s="15" t="str"/>
      <c r="P283" s="15" t="str"/>
      <c r="Q283" s="15" t="inlineStr">
        <is>
          <t>是</t>
        </is>
      </c>
      <c r="R283" s="15" t="inlineStr">
        <is>
          <t>是</t>
        </is>
      </c>
      <c r="S283" s="15" t="n">
        <v>1812</v>
      </c>
      <c r="T283" s="15" t="inlineStr">
        <is>
          <t>Frontend; Backend/API; Data/Database</t>
        </is>
      </c>
      <c r="U283" s="15" t="inlineStr">
        <is>
          <t>Technology; Education/Research</t>
        </is>
      </c>
      <c r="V283" s="15" t="inlineStr">
        <is>
          <t>C:\Workspace\java\scrape_indeed\soft_dav_part_1\556.html#23375</t>
        </is>
      </c>
    </row>
    <row r="284">
      <c r="A284" s="2">
        <f>IF(COUNTIF('Sample 20'!$B$2:$B$21,B284)&gt;0,"是","")</f>
        <v/>
      </c>
      <c r="B284" s="2" t="inlineStr">
        <is>
          <t>22948</t>
        </is>
      </c>
      <c r="C284" s="15" t="inlineStr">
        <is>
          <t>Software Developer</t>
        </is>
      </c>
      <c r="D284" s="15">
        <f>IF(E284&gt;='Scoring Rules'!$B$3,"强",IF(E284&gt;='Scoring Rules'!$B$4,"中","弱"))</f>
        <v/>
      </c>
      <c r="E284" s="125">
        <f>MIN(100,H284+IF(I284&gt;=5,'Scoring Rules'!$B$16,IF(I284&gt;=3,'Scoring Rules'!$B$17,IF(I284&gt;=1,'Scoring Rules'!$B$18,'Scoring Rules'!$B$19)))+IF(L284="是",'Scoring Rules'!$B$22,0)+MIN(J284*'Scoring Rules'!$B$23,'Scoring Rules'!$B$24)+IF(M284="是",'Scoring Rules'!$B$25,0)+MIN((IF(K284="",0,LEN(K284)-LEN(SUBSTITUTE(K284,";",""))+1))*'Scoring Rules'!$B$26,'Scoring Rules'!$B$27)+IF(N284="是",'Scoring Rules'!$B$28,0)+IF(O284="是",'Scoring Rules'!$B$29,0)+IF(P284="是",'Scoring Rules'!$B$30,0)+IF(Q284="是",'Scoring Rules'!$B$31,0)+IF(R284="是",'Scoring Rules'!$B$32,0)+IF(S284&gt;=8000,'Scoring Rules'!$B$35,IF(S284&gt;=4000,'Scoring Rules'!$B$36,IF(S284&gt;=2000,'Scoring Rules'!$B$37,'Scoring Rules'!$B$38))))</f>
        <v/>
      </c>
      <c r="F284" s="15" t="inlineStr">
        <is>
          <t>Standard</t>
        </is>
      </c>
      <c r="G284" s="15" t="inlineStr">
        <is>
          <t>Unspecified</t>
        </is>
      </c>
      <c r="H284" s="15" t="n">
        <v>2</v>
      </c>
      <c r="I284" s="15" t="n">
        <v>1</v>
      </c>
      <c r="J284" s="15" t="n">
        <v>9</v>
      </c>
      <c r="K284" s="15" t="str"/>
      <c r="L284" s="15" t="str"/>
      <c r="M284" s="15" t="str"/>
      <c r="N284" s="15" t="str"/>
      <c r="O284" s="15" t="str"/>
      <c r="P284" s="15" t="str"/>
      <c r="Q284" s="15" t="inlineStr">
        <is>
          <t>是</t>
        </is>
      </c>
      <c r="R284" s="15" t="str"/>
      <c r="S284" s="15" t="n">
        <v>1311</v>
      </c>
      <c r="T284" s="15" t="inlineStr">
        <is>
          <t>Backend/API; Mobile; Data/Database</t>
        </is>
      </c>
      <c r="U284" s="15" t="inlineStr">
        <is>
          <t>Technology</t>
        </is>
      </c>
      <c r="V284" s="15" t="inlineStr">
        <is>
          <t>C:\Workspace\java\scrape_indeed\soft_dav_part_1\557.html#23376</t>
        </is>
      </c>
    </row>
    <row r="285">
      <c r="A285" s="2">
        <f>IF(COUNTIF('Sample 20'!$B$2:$B$21,B285)&gt;0,"是","")</f>
        <v/>
      </c>
      <c r="B285" s="2" t="inlineStr">
        <is>
          <t>22949</t>
        </is>
      </c>
      <c r="C285" s="15" t="inlineStr">
        <is>
          <t>Software Developer</t>
        </is>
      </c>
      <c r="D285" s="15">
        <f>IF(E285&gt;='Scoring Rules'!$B$3,"强",IF(E285&gt;='Scoring Rules'!$B$4,"中","弱"))</f>
        <v/>
      </c>
      <c r="E285" s="125">
        <f>MIN(100,H285+IF(I285&gt;=5,'Scoring Rules'!$B$16,IF(I285&gt;=3,'Scoring Rules'!$B$17,IF(I285&gt;=1,'Scoring Rules'!$B$18,'Scoring Rules'!$B$19)))+IF(L285="是",'Scoring Rules'!$B$22,0)+MIN(J285*'Scoring Rules'!$B$23,'Scoring Rules'!$B$24)+IF(M285="是",'Scoring Rules'!$B$25,0)+MIN((IF(K285="",0,LEN(K285)-LEN(SUBSTITUTE(K285,";",""))+1))*'Scoring Rules'!$B$26,'Scoring Rules'!$B$27)+IF(N285="是",'Scoring Rules'!$B$28,0)+IF(O285="是",'Scoring Rules'!$B$29,0)+IF(P285="是",'Scoring Rules'!$B$30,0)+IF(Q285="是",'Scoring Rules'!$B$31,0)+IF(R285="是",'Scoring Rules'!$B$32,0)+IF(S285&gt;=8000,'Scoring Rules'!$B$35,IF(S285&gt;=4000,'Scoring Rules'!$B$36,IF(S285&gt;=2000,'Scoring Rules'!$B$37,'Scoring Rules'!$B$38))))</f>
        <v/>
      </c>
      <c r="F285" s="15" t="inlineStr">
        <is>
          <t>Standard</t>
        </is>
      </c>
      <c r="G285" s="15" t="inlineStr">
        <is>
          <t>Unspecified</t>
        </is>
      </c>
      <c r="H285" s="15" t="n">
        <v>2</v>
      </c>
      <c r="I285" s="15" t="n">
        <v>1</v>
      </c>
      <c r="J285" s="15" t="n">
        <v>14</v>
      </c>
      <c r="K285" s="15" t="str"/>
      <c r="L285" s="15" t="inlineStr">
        <is>
          <t>是</t>
        </is>
      </c>
      <c r="M285" s="15" t="str"/>
      <c r="N285" s="15" t="str"/>
      <c r="O285" s="15" t="str"/>
      <c r="P285" s="15" t="str"/>
      <c r="Q285" s="15" t="inlineStr">
        <is>
          <t>是</t>
        </is>
      </c>
      <c r="R285" s="15" t="inlineStr">
        <is>
          <t>是</t>
        </is>
      </c>
      <c r="S285" s="15" t="n">
        <v>2500</v>
      </c>
      <c r="T285" s="15" t="inlineStr">
        <is>
          <t>Frontend; Backend/API; Data/Database; Cloud/DevOps</t>
        </is>
      </c>
      <c r="U285" s="15" t="inlineStr">
        <is>
          <t>Technology; Education/Research</t>
        </is>
      </c>
      <c r="V285" s="15" t="inlineStr">
        <is>
          <t>C:\Workspace\java\scrape_indeed\soft_dav_part_1\558.html#23377</t>
        </is>
      </c>
    </row>
    <row r="286">
      <c r="A286" s="2">
        <f>IF(COUNTIF('Sample 20'!$B$2:$B$21,B286)&gt;0,"是","")</f>
        <v/>
      </c>
      <c r="B286" s="2" t="inlineStr">
        <is>
          <t>22950</t>
        </is>
      </c>
      <c r="C286" s="15" t="inlineStr">
        <is>
          <t>Software Developer</t>
        </is>
      </c>
      <c r="D286" s="15">
        <f>IF(E286&gt;='Scoring Rules'!$B$3,"强",IF(E286&gt;='Scoring Rules'!$B$4,"中","弱"))</f>
        <v/>
      </c>
      <c r="E286" s="125">
        <f>MIN(100,H286+IF(I286&gt;=5,'Scoring Rules'!$B$16,IF(I286&gt;=3,'Scoring Rules'!$B$17,IF(I286&gt;=1,'Scoring Rules'!$B$18,'Scoring Rules'!$B$19)))+IF(L286="是",'Scoring Rules'!$B$22,0)+MIN(J286*'Scoring Rules'!$B$23,'Scoring Rules'!$B$24)+IF(M286="是",'Scoring Rules'!$B$25,0)+MIN((IF(K286="",0,LEN(K286)-LEN(SUBSTITUTE(K286,";",""))+1))*'Scoring Rules'!$B$26,'Scoring Rules'!$B$27)+IF(N286="是",'Scoring Rules'!$B$28,0)+IF(O286="是",'Scoring Rules'!$B$29,0)+IF(P286="是",'Scoring Rules'!$B$30,0)+IF(Q286="是",'Scoring Rules'!$B$31,0)+IF(R286="是",'Scoring Rules'!$B$32,0)+IF(S286&gt;=8000,'Scoring Rules'!$B$35,IF(S286&gt;=4000,'Scoring Rules'!$B$36,IF(S286&gt;=2000,'Scoring Rules'!$B$37,'Scoring Rules'!$B$38))))</f>
        <v/>
      </c>
      <c r="F286" s="15" t="inlineStr">
        <is>
          <t>Standard</t>
        </is>
      </c>
      <c r="G286" s="15" t="inlineStr">
        <is>
          <t>Master</t>
        </is>
      </c>
      <c r="H286" s="15" t="n">
        <v>16</v>
      </c>
      <c r="I286" s="15" t="n">
        <v>1</v>
      </c>
      <c r="J286" s="15" t="n">
        <v>7</v>
      </c>
      <c r="K286" s="15" t="str"/>
      <c r="L286" s="15" t="inlineStr">
        <is>
          <t>是</t>
        </is>
      </c>
      <c r="M286" s="15" t="str"/>
      <c r="N286" s="15" t="str"/>
      <c r="O286" s="15" t="str"/>
      <c r="P286" s="15" t="str"/>
      <c r="Q286" s="15" t="str"/>
      <c r="R286" s="15" t="inlineStr">
        <is>
          <t>是</t>
        </is>
      </c>
      <c r="S286" s="15" t="n">
        <v>1336</v>
      </c>
      <c r="T286" s="15" t="inlineStr">
        <is>
          <t>Frontend; Backend/API; Data/Database</t>
        </is>
      </c>
      <c r="U286" s="15" t="inlineStr">
        <is>
          <t>Technology; Education/Research</t>
        </is>
      </c>
      <c r="V286" s="15" t="inlineStr">
        <is>
          <t>C:\Workspace\java\scrape_indeed\soft_dav_part_1\559.html#23378</t>
        </is>
      </c>
    </row>
    <row r="287">
      <c r="A287" s="2">
        <f>IF(COUNTIF('Sample 20'!$B$2:$B$21,B287)&gt;0,"是","")</f>
        <v/>
      </c>
      <c r="B287" s="2" t="inlineStr">
        <is>
          <t>22951</t>
        </is>
      </c>
      <c r="C287" s="15" t="inlineStr">
        <is>
          <t>Software Developer</t>
        </is>
      </c>
      <c r="D287" s="15">
        <f>IF(E287&gt;='Scoring Rules'!$B$3,"强",IF(E287&gt;='Scoring Rules'!$B$4,"中","弱"))</f>
        <v/>
      </c>
      <c r="E287" s="125">
        <f>MIN(100,H287+IF(I287&gt;=5,'Scoring Rules'!$B$16,IF(I287&gt;=3,'Scoring Rules'!$B$17,IF(I287&gt;=1,'Scoring Rules'!$B$18,'Scoring Rules'!$B$19)))+IF(L287="是",'Scoring Rules'!$B$22,0)+MIN(J287*'Scoring Rules'!$B$23,'Scoring Rules'!$B$24)+IF(M287="是",'Scoring Rules'!$B$25,0)+MIN((IF(K287="",0,LEN(K287)-LEN(SUBSTITUTE(K287,";",""))+1))*'Scoring Rules'!$B$26,'Scoring Rules'!$B$27)+IF(N287="是",'Scoring Rules'!$B$28,0)+IF(O287="是",'Scoring Rules'!$B$29,0)+IF(P287="是",'Scoring Rules'!$B$30,0)+IF(Q287="是",'Scoring Rules'!$B$31,0)+IF(R287="是",'Scoring Rules'!$B$32,0)+IF(S287&gt;=8000,'Scoring Rules'!$B$35,IF(S287&gt;=4000,'Scoring Rules'!$B$36,IF(S287&gt;=2000,'Scoring Rules'!$B$37,'Scoring Rules'!$B$38))))</f>
        <v/>
      </c>
      <c r="F287" s="15" t="inlineStr">
        <is>
          <t>Standard</t>
        </is>
      </c>
      <c r="G287" s="15" t="inlineStr">
        <is>
          <t>Bachelor</t>
        </is>
      </c>
      <c r="H287" s="15" t="n">
        <v>12</v>
      </c>
      <c r="I287" s="15" t="n">
        <v>2</v>
      </c>
      <c r="J287" s="15" t="n">
        <v>16</v>
      </c>
      <c r="K287" s="15" t="str"/>
      <c r="L287" s="15" t="inlineStr">
        <is>
          <t>是</t>
        </is>
      </c>
      <c r="M287" s="15" t="str"/>
      <c r="N287" s="15" t="inlineStr">
        <is>
          <t>是</t>
        </is>
      </c>
      <c r="O287" s="15" t="str"/>
      <c r="P287" s="15" t="inlineStr">
        <is>
          <t>是</t>
        </is>
      </c>
      <c r="Q287" s="15" t="inlineStr">
        <is>
          <t>是</t>
        </is>
      </c>
      <c r="R287" s="15" t="inlineStr">
        <is>
          <t>是</t>
        </is>
      </c>
      <c r="S287" s="15" t="n">
        <v>3704</v>
      </c>
      <c r="T287" s="15" t="inlineStr">
        <is>
          <t>Frontend; Backend/API; Mobile; Data/Database; Cloud/DevOps; Machine Learning</t>
        </is>
      </c>
      <c r="U287" s="15" t="inlineStr">
        <is>
          <t>Finance/Banking; Healthcare; Technology; Education/Research</t>
        </is>
      </c>
      <c r="V287" s="15" t="inlineStr">
        <is>
          <t>C:\Workspace\java\scrape_indeed\soft_dav_part_1\56.html#23379</t>
        </is>
      </c>
    </row>
    <row r="288">
      <c r="A288" s="2">
        <f>IF(COUNTIF('Sample 20'!$B$2:$B$21,B288)&gt;0,"是","")</f>
        <v/>
      </c>
      <c r="B288" s="2" t="inlineStr">
        <is>
          <t>22953</t>
        </is>
      </c>
      <c r="C288" s="15" t="inlineStr">
        <is>
          <t>Software Developer</t>
        </is>
      </c>
      <c r="D288" s="15">
        <f>IF(E288&gt;='Scoring Rules'!$B$3,"强",IF(E288&gt;='Scoring Rules'!$B$4,"中","弱"))</f>
        <v/>
      </c>
      <c r="E288" s="125">
        <f>MIN(100,H288+IF(I288&gt;=5,'Scoring Rules'!$B$16,IF(I288&gt;=3,'Scoring Rules'!$B$17,IF(I288&gt;=1,'Scoring Rules'!$B$18,'Scoring Rules'!$B$19)))+IF(L288="是",'Scoring Rules'!$B$22,0)+MIN(J288*'Scoring Rules'!$B$23,'Scoring Rules'!$B$24)+IF(M288="是",'Scoring Rules'!$B$25,0)+MIN((IF(K288="",0,LEN(K288)-LEN(SUBSTITUTE(K288,";",""))+1))*'Scoring Rules'!$B$26,'Scoring Rules'!$B$27)+IF(N288="是",'Scoring Rules'!$B$28,0)+IF(O288="是",'Scoring Rules'!$B$29,0)+IF(P288="是",'Scoring Rules'!$B$30,0)+IF(Q288="是",'Scoring Rules'!$B$31,0)+IF(R288="是",'Scoring Rules'!$B$32,0)+IF(S288&gt;=8000,'Scoring Rules'!$B$35,IF(S288&gt;=4000,'Scoring Rules'!$B$36,IF(S288&gt;=2000,'Scoring Rules'!$B$37,'Scoring Rules'!$B$38))))</f>
        <v/>
      </c>
      <c r="F288" s="15" t="inlineStr">
        <is>
          <t>Standard</t>
        </is>
      </c>
      <c r="G288" s="15" t="inlineStr">
        <is>
          <t>Unspecified</t>
        </is>
      </c>
      <c r="H288" s="15" t="n">
        <v>2</v>
      </c>
      <c r="I288" s="15" t="n">
        <v>1</v>
      </c>
      <c r="J288" s="15" t="n">
        <v>11</v>
      </c>
      <c r="K288" s="15" t="str"/>
      <c r="L288" s="15" t="str"/>
      <c r="M288" s="15" t="str"/>
      <c r="N288" s="15" t="str"/>
      <c r="O288" s="15" t="str"/>
      <c r="P288" s="15" t="str"/>
      <c r="Q288" s="15" t="str"/>
      <c r="R288" s="15" t="str"/>
      <c r="S288" s="15" t="n">
        <v>1572</v>
      </c>
      <c r="T288" s="15" t="inlineStr">
        <is>
          <t>Frontend; Backend/API; Data/Database</t>
        </is>
      </c>
      <c r="U288" s="15" t="inlineStr">
        <is>
          <t>Technology; Education/Research</t>
        </is>
      </c>
      <c r="V288" s="15" t="inlineStr">
        <is>
          <t>C:\Workspace\java\scrape_indeed\soft_dav_part_1\561.html#23381</t>
        </is>
      </c>
    </row>
    <row r="289">
      <c r="A289" s="2">
        <f>IF(COUNTIF('Sample 20'!$B$2:$B$21,B289)&gt;0,"是","")</f>
        <v/>
      </c>
      <c r="B289" s="2" t="inlineStr">
        <is>
          <t>22954</t>
        </is>
      </c>
      <c r="C289" s="15" t="inlineStr">
        <is>
          <t>Software Developer</t>
        </is>
      </c>
      <c r="D289" s="15">
        <f>IF(E289&gt;='Scoring Rules'!$B$3,"强",IF(E289&gt;='Scoring Rules'!$B$4,"中","弱"))</f>
        <v/>
      </c>
      <c r="E289" s="125">
        <f>MIN(100,H289+IF(I289&gt;=5,'Scoring Rules'!$B$16,IF(I289&gt;=3,'Scoring Rules'!$B$17,IF(I289&gt;=1,'Scoring Rules'!$B$18,'Scoring Rules'!$B$19)))+IF(L289="是",'Scoring Rules'!$B$22,0)+MIN(J289*'Scoring Rules'!$B$23,'Scoring Rules'!$B$24)+IF(M289="是",'Scoring Rules'!$B$25,0)+MIN((IF(K289="",0,LEN(K289)-LEN(SUBSTITUTE(K289,";",""))+1))*'Scoring Rules'!$B$26,'Scoring Rules'!$B$27)+IF(N289="是",'Scoring Rules'!$B$28,0)+IF(O289="是",'Scoring Rules'!$B$29,0)+IF(P289="是",'Scoring Rules'!$B$30,0)+IF(Q289="是",'Scoring Rules'!$B$31,0)+IF(R289="是",'Scoring Rules'!$B$32,0)+IF(S289&gt;=8000,'Scoring Rules'!$B$35,IF(S289&gt;=4000,'Scoring Rules'!$B$36,IF(S289&gt;=2000,'Scoring Rules'!$B$37,'Scoring Rules'!$B$38))))</f>
        <v/>
      </c>
      <c r="F289" s="15" t="inlineStr">
        <is>
          <t>Standard</t>
        </is>
      </c>
      <c r="G289" s="15" t="inlineStr">
        <is>
          <t>Bachelor</t>
        </is>
      </c>
      <c r="H289" s="15" t="n">
        <v>12</v>
      </c>
      <c r="I289" s="15" t="n">
        <v>1</v>
      </c>
      <c r="J289" s="15" t="n">
        <v>5</v>
      </c>
      <c r="K289" s="15" t="str"/>
      <c r="L289" s="15" t="str"/>
      <c r="M289" s="15" t="str"/>
      <c r="N289" s="15" t="str"/>
      <c r="O289" s="15" t="str"/>
      <c r="P289" s="15" t="str"/>
      <c r="Q289" s="15" t="inlineStr">
        <is>
          <t>是</t>
        </is>
      </c>
      <c r="R289" s="15" t="inlineStr">
        <is>
          <t>是</t>
        </is>
      </c>
      <c r="S289" s="15" t="n">
        <v>2080</v>
      </c>
      <c r="T289" s="15" t="inlineStr">
        <is>
          <t>Frontend; Backend/API; Data/Database; Testing/Automation</t>
        </is>
      </c>
      <c r="U289" s="15" t="inlineStr">
        <is>
          <t>Technology; Manufacturing/Automotive</t>
        </is>
      </c>
      <c r="V289" s="15" t="inlineStr">
        <is>
          <t>C:\Workspace\java\scrape_indeed\soft_dav_part_1\562.html#23382</t>
        </is>
      </c>
    </row>
    <row r="290">
      <c r="A290" s="2">
        <f>IF(COUNTIF('Sample 20'!$B$2:$B$21,B290)&gt;0,"是","")</f>
        <v/>
      </c>
      <c r="B290" s="2" t="inlineStr">
        <is>
          <t>22955</t>
        </is>
      </c>
      <c r="C290" s="15" t="inlineStr">
        <is>
          <t>Software Developer</t>
        </is>
      </c>
      <c r="D290" s="15">
        <f>IF(E290&gt;='Scoring Rules'!$B$3,"强",IF(E290&gt;='Scoring Rules'!$B$4,"中","弱"))</f>
        <v/>
      </c>
      <c r="E290" s="125">
        <f>MIN(100,H290+IF(I290&gt;=5,'Scoring Rules'!$B$16,IF(I290&gt;=3,'Scoring Rules'!$B$17,IF(I290&gt;=1,'Scoring Rules'!$B$18,'Scoring Rules'!$B$19)))+IF(L290="是",'Scoring Rules'!$B$22,0)+MIN(J290*'Scoring Rules'!$B$23,'Scoring Rules'!$B$24)+IF(M290="是",'Scoring Rules'!$B$25,0)+MIN((IF(K290="",0,LEN(K290)-LEN(SUBSTITUTE(K290,";",""))+1))*'Scoring Rules'!$B$26,'Scoring Rules'!$B$27)+IF(N290="是",'Scoring Rules'!$B$28,0)+IF(O290="是",'Scoring Rules'!$B$29,0)+IF(P290="是",'Scoring Rules'!$B$30,0)+IF(Q290="是",'Scoring Rules'!$B$31,0)+IF(R290="是",'Scoring Rules'!$B$32,0)+IF(S290&gt;=8000,'Scoring Rules'!$B$35,IF(S290&gt;=4000,'Scoring Rules'!$B$36,IF(S290&gt;=2000,'Scoring Rules'!$B$37,'Scoring Rules'!$B$38))))</f>
        <v/>
      </c>
      <c r="F290" s="15" t="inlineStr">
        <is>
          <t>Standard</t>
        </is>
      </c>
      <c r="G290" s="15" t="inlineStr">
        <is>
          <t>Master</t>
        </is>
      </c>
      <c r="H290" s="15" t="n">
        <v>16</v>
      </c>
      <c r="I290" s="15" t="n">
        <v>1</v>
      </c>
      <c r="J290" s="15" t="n">
        <v>10</v>
      </c>
      <c r="K290" s="15" t="str"/>
      <c r="L290" s="15" t="inlineStr">
        <is>
          <t>是</t>
        </is>
      </c>
      <c r="M290" s="15" t="str"/>
      <c r="N290" s="15" t="str"/>
      <c r="O290" s="15" t="str"/>
      <c r="P290" s="15" t="inlineStr">
        <is>
          <t>是</t>
        </is>
      </c>
      <c r="Q290" s="15" t="inlineStr">
        <is>
          <t>是</t>
        </is>
      </c>
      <c r="R290" s="15" t="str"/>
      <c r="S290" s="15" t="n">
        <v>1906</v>
      </c>
      <c r="T290" s="15" t="inlineStr">
        <is>
          <t>Backend/API; Data/Database; Embedded/Systems</t>
        </is>
      </c>
      <c r="U290" s="15" t="inlineStr">
        <is>
          <t>Finance/Banking; Government/Defense; Technology; Education/Research</t>
        </is>
      </c>
      <c r="V290" s="15" t="inlineStr">
        <is>
          <t>C:\Workspace\java\scrape_indeed\soft_dav_part_1\563.html#23383</t>
        </is>
      </c>
    </row>
    <row r="291">
      <c r="A291" s="2">
        <f>IF(COUNTIF('Sample 20'!$B$2:$B$21,B291)&gt;0,"是","")</f>
        <v/>
      </c>
      <c r="B291" s="2" t="inlineStr">
        <is>
          <t>22956</t>
        </is>
      </c>
      <c r="C291" s="15" t="inlineStr">
        <is>
          <t>Software Developer</t>
        </is>
      </c>
      <c r="D291" s="15">
        <f>IF(E291&gt;='Scoring Rules'!$B$3,"强",IF(E291&gt;='Scoring Rules'!$B$4,"中","弱"))</f>
        <v/>
      </c>
      <c r="E291" s="125">
        <f>MIN(100,H291+IF(I291&gt;=5,'Scoring Rules'!$B$16,IF(I291&gt;=3,'Scoring Rules'!$B$17,IF(I291&gt;=1,'Scoring Rules'!$B$18,'Scoring Rules'!$B$19)))+IF(L291="是",'Scoring Rules'!$B$22,0)+MIN(J291*'Scoring Rules'!$B$23,'Scoring Rules'!$B$24)+IF(M291="是",'Scoring Rules'!$B$25,0)+MIN((IF(K291="",0,LEN(K291)-LEN(SUBSTITUTE(K291,";",""))+1))*'Scoring Rules'!$B$26,'Scoring Rules'!$B$27)+IF(N291="是",'Scoring Rules'!$B$28,0)+IF(O291="是",'Scoring Rules'!$B$29,0)+IF(P291="是",'Scoring Rules'!$B$30,0)+IF(Q291="是",'Scoring Rules'!$B$31,0)+IF(R291="是",'Scoring Rules'!$B$32,0)+IF(S291&gt;=8000,'Scoring Rules'!$B$35,IF(S291&gt;=4000,'Scoring Rules'!$B$36,IF(S291&gt;=2000,'Scoring Rules'!$B$37,'Scoring Rules'!$B$38))))</f>
        <v/>
      </c>
      <c r="F291" s="15" t="inlineStr">
        <is>
          <t>Standard</t>
        </is>
      </c>
      <c r="G291" s="15" t="inlineStr">
        <is>
          <t>Unspecified</t>
        </is>
      </c>
      <c r="H291" s="15" t="n">
        <v>2</v>
      </c>
      <c r="I291" s="15" t="n">
        <v>4</v>
      </c>
      <c r="J291" s="15" t="n">
        <v>17</v>
      </c>
      <c r="K291" s="15" t="str"/>
      <c r="L291" s="15" t="inlineStr">
        <is>
          <t>是</t>
        </is>
      </c>
      <c r="M291" s="15" t="str"/>
      <c r="N291" s="15" t="str"/>
      <c r="O291" s="15" t="str"/>
      <c r="P291" s="15" t="inlineStr">
        <is>
          <t>是</t>
        </is>
      </c>
      <c r="Q291" s="15" t="inlineStr">
        <is>
          <t>是</t>
        </is>
      </c>
      <c r="R291" s="15" t="str"/>
      <c r="S291" s="15" t="n">
        <v>2370</v>
      </c>
      <c r="T291" s="15" t="inlineStr">
        <is>
          <t>Frontend; Backend/API; Data/Database; Cloud/DevOps; Testing/Automation</t>
        </is>
      </c>
      <c r="U291" s="15" t="inlineStr">
        <is>
          <t>Technology; Education/Research</t>
        </is>
      </c>
      <c r="V291" s="15" t="inlineStr">
        <is>
          <t>C:\Workspace\java\scrape_indeed\soft_dav_part_1\564.html#23384</t>
        </is>
      </c>
    </row>
    <row r="292">
      <c r="A292" s="2">
        <f>IF(COUNTIF('Sample 20'!$B$2:$B$21,B292)&gt;0,"是","")</f>
        <v/>
      </c>
      <c r="B292" s="2" t="inlineStr">
        <is>
          <t>22957</t>
        </is>
      </c>
      <c r="C292" s="15" t="inlineStr">
        <is>
          <t>Software Developer</t>
        </is>
      </c>
      <c r="D292" s="15">
        <f>IF(E292&gt;='Scoring Rules'!$B$3,"强",IF(E292&gt;='Scoring Rules'!$B$4,"中","弱"))</f>
        <v/>
      </c>
      <c r="E292" s="125">
        <f>MIN(100,H292+IF(I292&gt;=5,'Scoring Rules'!$B$16,IF(I292&gt;=3,'Scoring Rules'!$B$17,IF(I292&gt;=1,'Scoring Rules'!$B$18,'Scoring Rules'!$B$19)))+IF(L292="是",'Scoring Rules'!$B$22,0)+MIN(J292*'Scoring Rules'!$B$23,'Scoring Rules'!$B$24)+IF(M292="是",'Scoring Rules'!$B$25,0)+MIN((IF(K292="",0,LEN(K292)-LEN(SUBSTITUTE(K292,";",""))+1))*'Scoring Rules'!$B$26,'Scoring Rules'!$B$27)+IF(N292="是",'Scoring Rules'!$B$28,0)+IF(O292="是",'Scoring Rules'!$B$29,0)+IF(P292="是",'Scoring Rules'!$B$30,0)+IF(Q292="是",'Scoring Rules'!$B$31,0)+IF(R292="是",'Scoring Rules'!$B$32,0)+IF(S292&gt;=8000,'Scoring Rules'!$B$35,IF(S292&gt;=4000,'Scoring Rules'!$B$36,IF(S292&gt;=2000,'Scoring Rules'!$B$37,'Scoring Rules'!$B$38))))</f>
        <v/>
      </c>
      <c r="F292" s="15" t="inlineStr">
        <is>
          <t>Standard</t>
        </is>
      </c>
      <c r="G292" s="15" t="inlineStr">
        <is>
          <t>Associate</t>
        </is>
      </c>
      <c r="H292" s="15" t="n">
        <v>8</v>
      </c>
      <c r="I292" s="15" t="n">
        <v>1</v>
      </c>
      <c r="J292" s="15" t="n">
        <v>13</v>
      </c>
      <c r="K292" s="15" t="str"/>
      <c r="L292" s="15" t="inlineStr">
        <is>
          <t>是</t>
        </is>
      </c>
      <c r="M292" s="15" t="str"/>
      <c r="N292" s="15" t="str"/>
      <c r="O292" s="15" t="str"/>
      <c r="P292" s="15" t="inlineStr">
        <is>
          <t>是</t>
        </is>
      </c>
      <c r="Q292" s="15" t="inlineStr">
        <is>
          <t>是</t>
        </is>
      </c>
      <c r="R292" s="15" t="inlineStr">
        <is>
          <t>是</t>
        </is>
      </c>
      <c r="S292" s="15" t="n">
        <v>2032</v>
      </c>
      <c r="T292" s="15" t="inlineStr">
        <is>
          <t>Frontend; Backend/API; Data/Database</t>
        </is>
      </c>
      <c r="U292" s="15" t="inlineStr">
        <is>
          <t>Technology; Education/Research</t>
        </is>
      </c>
      <c r="V292" s="15" t="inlineStr">
        <is>
          <t>C:\Workspace\java\scrape_indeed\soft_dav_part_1\565.html#23385</t>
        </is>
      </c>
    </row>
    <row r="293">
      <c r="A293" s="2">
        <f>IF(COUNTIF('Sample 20'!$B$2:$B$21,B293)&gt;0,"是","")</f>
        <v/>
      </c>
      <c r="B293" s="2" t="inlineStr">
        <is>
          <t>22958</t>
        </is>
      </c>
      <c r="C293" s="15" t="inlineStr">
        <is>
          <t>Software Developer</t>
        </is>
      </c>
      <c r="D293" s="15">
        <f>IF(E293&gt;='Scoring Rules'!$B$3,"强",IF(E293&gt;='Scoring Rules'!$B$4,"中","弱"))</f>
        <v/>
      </c>
      <c r="E293" s="125">
        <f>MIN(100,H293+IF(I293&gt;=5,'Scoring Rules'!$B$16,IF(I293&gt;=3,'Scoring Rules'!$B$17,IF(I293&gt;=1,'Scoring Rules'!$B$18,'Scoring Rules'!$B$19)))+IF(L293="是",'Scoring Rules'!$B$22,0)+MIN(J293*'Scoring Rules'!$B$23,'Scoring Rules'!$B$24)+IF(M293="是",'Scoring Rules'!$B$25,0)+MIN((IF(K293="",0,LEN(K293)-LEN(SUBSTITUTE(K293,";",""))+1))*'Scoring Rules'!$B$26,'Scoring Rules'!$B$27)+IF(N293="是",'Scoring Rules'!$B$28,0)+IF(O293="是",'Scoring Rules'!$B$29,0)+IF(P293="是",'Scoring Rules'!$B$30,0)+IF(Q293="是",'Scoring Rules'!$B$31,0)+IF(R293="是",'Scoring Rules'!$B$32,0)+IF(S293&gt;=8000,'Scoring Rules'!$B$35,IF(S293&gt;=4000,'Scoring Rules'!$B$36,IF(S293&gt;=2000,'Scoring Rules'!$B$37,'Scoring Rules'!$B$38))))</f>
        <v/>
      </c>
      <c r="F293" s="15" t="inlineStr">
        <is>
          <t>Standard</t>
        </is>
      </c>
      <c r="G293" s="15" t="inlineStr">
        <is>
          <t>Master</t>
        </is>
      </c>
      <c r="H293" s="15" t="n">
        <v>16</v>
      </c>
      <c r="I293" s="15" t="n">
        <v>3</v>
      </c>
      <c r="J293" s="15" t="n">
        <v>21</v>
      </c>
      <c r="K293" s="15" t="str"/>
      <c r="L293" s="15" t="inlineStr">
        <is>
          <t>是</t>
        </is>
      </c>
      <c r="M293" s="15" t="str"/>
      <c r="N293" s="15" t="str"/>
      <c r="O293" s="15" t="str"/>
      <c r="P293" s="15" t="str"/>
      <c r="Q293" s="15" t="str"/>
      <c r="R293" s="15" t="inlineStr">
        <is>
          <t>是</t>
        </is>
      </c>
      <c r="S293" s="15" t="n">
        <v>5186</v>
      </c>
      <c r="T293" s="15" t="inlineStr">
        <is>
          <t>Frontend; Backend/API; Mobile; Data/Database; Cloud/DevOps; Embedded/Systems; Testing/Automation</t>
        </is>
      </c>
      <c r="U293" s="15" t="inlineStr">
        <is>
          <t>Government/Defense; Technology; Education/Research</t>
        </is>
      </c>
      <c r="V293" s="15" t="inlineStr">
        <is>
          <t>C:\Workspace\java\scrape_indeed\soft_dav_part_1\566.html#23386</t>
        </is>
      </c>
    </row>
    <row r="294">
      <c r="A294" s="2">
        <f>IF(COUNTIF('Sample 20'!$B$2:$B$21,B294)&gt;0,"是","")</f>
        <v/>
      </c>
      <c r="B294" s="2" t="inlineStr">
        <is>
          <t>22961</t>
        </is>
      </c>
      <c r="C294" s="15" t="inlineStr">
        <is>
          <t>Software Developer</t>
        </is>
      </c>
      <c r="D294" s="15">
        <f>IF(E294&gt;='Scoring Rules'!$B$3,"强",IF(E294&gt;='Scoring Rules'!$B$4,"中","弱"))</f>
        <v/>
      </c>
      <c r="E294" s="125">
        <f>MIN(100,H294+IF(I294&gt;=5,'Scoring Rules'!$B$16,IF(I294&gt;=3,'Scoring Rules'!$B$17,IF(I294&gt;=1,'Scoring Rules'!$B$18,'Scoring Rules'!$B$19)))+IF(L294="是",'Scoring Rules'!$B$22,0)+MIN(J294*'Scoring Rules'!$B$23,'Scoring Rules'!$B$24)+IF(M294="是",'Scoring Rules'!$B$25,0)+MIN((IF(K294="",0,LEN(K294)-LEN(SUBSTITUTE(K294,";",""))+1))*'Scoring Rules'!$B$26,'Scoring Rules'!$B$27)+IF(N294="是",'Scoring Rules'!$B$28,0)+IF(O294="是",'Scoring Rules'!$B$29,0)+IF(P294="是",'Scoring Rules'!$B$30,0)+IF(Q294="是",'Scoring Rules'!$B$31,0)+IF(R294="是",'Scoring Rules'!$B$32,0)+IF(S294&gt;=8000,'Scoring Rules'!$B$35,IF(S294&gt;=4000,'Scoring Rules'!$B$36,IF(S294&gt;=2000,'Scoring Rules'!$B$37,'Scoring Rules'!$B$38))))</f>
        <v/>
      </c>
      <c r="F294" s="15" t="inlineStr">
        <is>
          <t>Standard</t>
        </is>
      </c>
      <c r="G294" s="15" t="inlineStr">
        <is>
          <t>Master</t>
        </is>
      </c>
      <c r="H294" s="15" t="n">
        <v>16</v>
      </c>
      <c r="I294" s="15" t="n">
        <v>2</v>
      </c>
      <c r="J294" s="15" t="n">
        <v>14</v>
      </c>
      <c r="K294" s="15" t="str"/>
      <c r="L294" s="15" t="inlineStr">
        <is>
          <t>是</t>
        </is>
      </c>
      <c r="M294" s="15" t="str"/>
      <c r="N294" s="15" t="str"/>
      <c r="O294" s="15" t="str"/>
      <c r="P294" s="15" t="str"/>
      <c r="Q294" s="15" t="str"/>
      <c r="R294" s="15" t="str"/>
      <c r="S294" s="15" t="n">
        <v>3057</v>
      </c>
      <c r="T294" s="15" t="inlineStr">
        <is>
          <t>Frontend; Backend/API; Data/Database; Cloud/DevOps</t>
        </is>
      </c>
      <c r="U294" s="15" t="inlineStr">
        <is>
          <t>Finance/Banking; Technology; Education/Research; Retail/E-commerce</t>
        </is>
      </c>
      <c r="V294" s="15" t="inlineStr">
        <is>
          <t>C:\Workspace\java\scrape_indeed\soft_dav_part_1\569.html#23389</t>
        </is>
      </c>
    </row>
    <row r="295">
      <c r="A295" s="2">
        <f>IF(COUNTIF('Sample 20'!$B$2:$B$21,B295)&gt;0,"是","")</f>
        <v/>
      </c>
      <c r="B295" s="2" t="inlineStr">
        <is>
          <t>22964</t>
        </is>
      </c>
      <c r="C295" s="15" t="inlineStr">
        <is>
          <t>Software Developer</t>
        </is>
      </c>
      <c r="D295" s="15">
        <f>IF(E295&gt;='Scoring Rules'!$B$3,"强",IF(E295&gt;='Scoring Rules'!$B$4,"中","弱"))</f>
        <v/>
      </c>
      <c r="E295" s="125">
        <f>MIN(100,H295+IF(I295&gt;=5,'Scoring Rules'!$B$16,IF(I295&gt;=3,'Scoring Rules'!$B$17,IF(I295&gt;=1,'Scoring Rules'!$B$18,'Scoring Rules'!$B$19)))+IF(L295="是",'Scoring Rules'!$B$22,0)+MIN(J295*'Scoring Rules'!$B$23,'Scoring Rules'!$B$24)+IF(M295="是",'Scoring Rules'!$B$25,0)+MIN((IF(K295="",0,LEN(K295)-LEN(SUBSTITUTE(K295,";",""))+1))*'Scoring Rules'!$B$26,'Scoring Rules'!$B$27)+IF(N295="是",'Scoring Rules'!$B$28,0)+IF(O295="是",'Scoring Rules'!$B$29,0)+IF(P295="是",'Scoring Rules'!$B$30,0)+IF(Q295="是",'Scoring Rules'!$B$31,0)+IF(R295="是",'Scoring Rules'!$B$32,0)+IF(S295&gt;=8000,'Scoring Rules'!$B$35,IF(S295&gt;=4000,'Scoring Rules'!$B$36,IF(S295&gt;=2000,'Scoring Rules'!$B$37,'Scoring Rules'!$B$38))))</f>
        <v/>
      </c>
      <c r="F295" s="15" t="inlineStr">
        <is>
          <t>Standard</t>
        </is>
      </c>
      <c r="G295" s="15" t="inlineStr">
        <is>
          <t>Unspecified</t>
        </is>
      </c>
      <c r="H295" s="15" t="n">
        <v>2</v>
      </c>
      <c r="I295" s="15" t="n">
        <v>1</v>
      </c>
      <c r="J295" s="15" t="n">
        <v>13</v>
      </c>
      <c r="K295" s="15" t="str"/>
      <c r="L295" s="15" t="str"/>
      <c r="M295" s="15" t="str"/>
      <c r="N295" s="15" t="str"/>
      <c r="O295" s="15" t="inlineStr">
        <is>
          <t>是</t>
        </is>
      </c>
      <c r="P295" s="15" t="str"/>
      <c r="Q295" s="15" t="inlineStr">
        <is>
          <t>是</t>
        </is>
      </c>
      <c r="R295" s="15" t="inlineStr">
        <is>
          <t>是</t>
        </is>
      </c>
      <c r="S295" s="15" t="n">
        <v>5095</v>
      </c>
      <c r="T295" s="15" t="inlineStr">
        <is>
          <t>Frontend; Backend/API; Mobile; Data/Database; Testing/Automation</t>
        </is>
      </c>
      <c r="U295" s="15" t="inlineStr">
        <is>
          <t>Technology; Telecom</t>
        </is>
      </c>
      <c r="V295" s="15" t="inlineStr">
        <is>
          <t>C:\Workspace\java\scrape_indeed\soft_dav_part_1\571.html#23392</t>
        </is>
      </c>
    </row>
    <row r="296">
      <c r="A296" s="2">
        <f>IF(COUNTIF('Sample 20'!$B$2:$B$21,B296)&gt;0,"是","")</f>
        <v/>
      </c>
      <c r="B296" s="2" t="inlineStr">
        <is>
          <t>22965</t>
        </is>
      </c>
      <c r="C296" s="15" t="inlineStr">
        <is>
          <t>Software Developer</t>
        </is>
      </c>
      <c r="D296" s="15">
        <f>IF(E296&gt;='Scoring Rules'!$B$3,"强",IF(E296&gt;='Scoring Rules'!$B$4,"中","弱"))</f>
        <v/>
      </c>
      <c r="E296" s="125">
        <f>MIN(100,H296+IF(I296&gt;=5,'Scoring Rules'!$B$16,IF(I296&gt;=3,'Scoring Rules'!$B$17,IF(I296&gt;=1,'Scoring Rules'!$B$18,'Scoring Rules'!$B$19)))+IF(L296="是",'Scoring Rules'!$B$22,0)+MIN(J296*'Scoring Rules'!$B$23,'Scoring Rules'!$B$24)+IF(M296="是",'Scoring Rules'!$B$25,0)+MIN((IF(K296="",0,LEN(K296)-LEN(SUBSTITUTE(K296,";",""))+1))*'Scoring Rules'!$B$26,'Scoring Rules'!$B$27)+IF(N296="是",'Scoring Rules'!$B$28,0)+IF(O296="是",'Scoring Rules'!$B$29,0)+IF(P296="是",'Scoring Rules'!$B$30,0)+IF(Q296="是",'Scoring Rules'!$B$31,0)+IF(R296="是",'Scoring Rules'!$B$32,0)+IF(S296&gt;=8000,'Scoring Rules'!$B$35,IF(S296&gt;=4000,'Scoring Rules'!$B$36,IF(S296&gt;=2000,'Scoring Rules'!$B$37,'Scoring Rules'!$B$38))))</f>
        <v/>
      </c>
      <c r="F296" s="15" t="inlineStr">
        <is>
          <t>Standard</t>
        </is>
      </c>
      <c r="G296" s="15" t="inlineStr">
        <is>
          <t>Unspecified</t>
        </is>
      </c>
      <c r="H296" s="15" t="n">
        <v>2</v>
      </c>
      <c r="I296" s="15" t="n">
        <v>3</v>
      </c>
      <c r="J296" s="15" t="n">
        <v>7</v>
      </c>
      <c r="K296" s="15" t="str"/>
      <c r="L296" s="15" t="inlineStr">
        <is>
          <t>是</t>
        </is>
      </c>
      <c r="M296" s="15" t="str"/>
      <c r="N296" s="15" t="str"/>
      <c r="O296" s="15" t="str"/>
      <c r="P296" s="15" t="str"/>
      <c r="Q296" s="15" t="inlineStr">
        <is>
          <t>是</t>
        </is>
      </c>
      <c r="R296" s="15" t="inlineStr">
        <is>
          <t>是</t>
        </is>
      </c>
      <c r="S296" s="15" t="n">
        <v>7121</v>
      </c>
      <c r="T296" s="15" t="inlineStr">
        <is>
          <t>Frontend; Backend/API; Mobile</t>
        </is>
      </c>
      <c r="U296" s="15" t="inlineStr">
        <is>
          <t>Technology; Telecom; Education/Research; Retail/E-commerce</t>
        </is>
      </c>
      <c r="V296" s="15" t="inlineStr">
        <is>
          <t>C:\Workspace\java\scrape_indeed\soft_dav_part_1\572.html#23393</t>
        </is>
      </c>
    </row>
    <row r="297">
      <c r="A297" s="2">
        <f>IF(COUNTIF('Sample 20'!$B$2:$B$21,B297)&gt;0,"是","")</f>
        <v/>
      </c>
      <c r="B297" s="2" t="inlineStr">
        <is>
          <t>22970</t>
        </is>
      </c>
      <c r="C297" s="15" t="inlineStr">
        <is>
          <t>Software Developer</t>
        </is>
      </c>
      <c r="D297" s="15">
        <f>IF(E297&gt;='Scoring Rules'!$B$3,"强",IF(E297&gt;='Scoring Rules'!$B$4,"中","弱"))</f>
        <v/>
      </c>
      <c r="E297" s="125">
        <f>MIN(100,H297+IF(I297&gt;=5,'Scoring Rules'!$B$16,IF(I297&gt;=3,'Scoring Rules'!$B$17,IF(I297&gt;=1,'Scoring Rules'!$B$18,'Scoring Rules'!$B$19)))+IF(L297="是",'Scoring Rules'!$B$22,0)+MIN(J297*'Scoring Rules'!$B$23,'Scoring Rules'!$B$24)+IF(M297="是",'Scoring Rules'!$B$25,0)+MIN((IF(K297="",0,LEN(K297)-LEN(SUBSTITUTE(K297,";",""))+1))*'Scoring Rules'!$B$26,'Scoring Rules'!$B$27)+IF(N297="是",'Scoring Rules'!$B$28,0)+IF(O297="是",'Scoring Rules'!$B$29,0)+IF(P297="是",'Scoring Rules'!$B$30,0)+IF(Q297="是",'Scoring Rules'!$B$31,0)+IF(R297="是",'Scoring Rules'!$B$32,0)+IF(S297&gt;=8000,'Scoring Rules'!$B$35,IF(S297&gt;=4000,'Scoring Rules'!$B$36,IF(S297&gt;=2000,'Scoring Rules'!$B$37,'Scoring Rules'!$B$38))))</f>
        <v/>
      </c>
      <c r="F297" s="15" t="inlineStr">
        <is>
          <t>Standard</t>
        </is>
      </c>
      <c r="G297" s="15" t="inlineStr">
        <is>
          <t>Bachelor</t>
        </is>
      </c>
      <c r="H297" s="15" t="n">
        <v>12</v>
      </c>
      <c r="I297" s="15" t="n">
        <v>3</v>
      </c>
      <c r="J297" s="15" t="n">
        <v>12</v>
      </c>
      <c r="K297" s="15" t="str"/>
      <c r="L297" s="15" t="inlineStr">
        <is>
          <t>是</t>
        </is>
      </c>
      <c r="M297" s="15" t="str"/>
      <c r="N297" s="15" t="str"/>
      <c r="O297" s="15" t="str"/>
      <c r="P297" s="15" t="inlineStr">
        <is>
          <t>是</t>
        </is>
      </c>
      <c r="Q297" s="15" t="inlineStr">
        <is>
          <t>是</t>
        </is>
      </c>
      <c r="R297" s="15" t="inlineStr">
        <is>
          <t>是</t>
        </is>
      </c>
      <c r="S297" s="15" t="n">
        <v>2580</v>
      </c>
      <c r="T297" s="15" t="inlineStr">
        <is>
          <t>Backend/API; Data/Database; Embedded/Systems; Testing/Automation</t>
        </is>
      </c>
      <c r="U297" s="15" t="inlineStr">
        <is>
          <t>Technology; Education/Research</t>
        </is>
      </c>
      <c r="V297" s="15" t="inlineStr">
        <is>
          <t>C:\Workspace\java\scrape_indeed\soft_dav_part_1\577.html#23398</t>
        </is>
      </c>
    </row>
    <row r="298">
      <c r="A298" s="2">
        <f>IF(COUNTIF('Sample 20'!$B$2:$B$21,B298)&gt;0,"是","")</f>
        <v/>
      </c>
      <c r="B298" s="2" t="inlineStr">
        <is>
          <t>22976</t>
        </is>
      </c>
      <c r="C298" s="15" t="inlineStr">
        <is>
          <t>Software Developer</t>
        </is>
      </c>
      <c r="D298" s="15">
        <f>IF(E298&gt;='Scoring Rules'!$B$3,"强",IF(E298&gt;='Scoring Rules'!$B$4,"中","弱"))</f>
        <v/>
      </c>
      <c r="E298" s="125">
        <f>MIN(100,H298+IF(I298&gt;=5,'Scoring Rules'!$B$16,IF(I298&gt;=3,'Scoring Rules'!$B$17,IF(I298&gt;=1,'Scoring Rules'!$B$18,'Scoring Rules'!$B$19)))+IF(L298="是",'Scoring Rules'!$B$22,0)+MIN(J298*'Scoring Rules'!$B$23,'Scoring Rules'!$B$24)+IF(M298="是",'Scoring Rules'!$B$25,0)+MIN((IF(K298="",0,LEN(K298)-LEN(SUBSTITUTE(K298,";",""))+1))*'Scoring Rules'!$B$26,'Scoring Rules'!$B$27)+IF(N298="是",'Scoring Rules'!$B$28,0)+IF(O298="是",'Scoring Rules'!$B$29,0)+IF(P298="是",'Scoring Rules'!$B$30,0)+IF(Q298="是",'Scoring Rules'!$B$31,0)+IF(R298="是",'Scoring Rules'!$B$32,0)+IF(S298&gt;=8000,'Scoring Rules'!$B$35,IF(S298&gt;=4000,'Scoring Rules'!$B$36,IF(S298&gt;=2000,'Scoring Rules'!$B$37,'Scoring Rules'!$B$38))))</f>
        <v/>
      </c>
      <c r="F298" s="15" t="inlineStr">
        <is>
          <t>Standard</t>
        </is>
      </c>
      <c r="G298" s="15" t="inlineStr">
        <is>
          <t>Bachelor</t>
        </is>
      </c>
      <c r="H298" s="15" t="n">
        <v>12</v>
      </c>
      <c r="I298" s="15" t="n">
        <v>2</v>
      </c>
      <c r="J298" s="15" t="n">
        <v>10</v>
      </c>
      <c r="K298" s="15" t="str"/>
      <c r="L298" s="15" t="inlineStr">
        <is>
          <t>是</t>
        </is>
      </c>
      <c r="M298" s="15" t="str"/>
      <c r="N298" s="15" t="str"/>
      <c r="O298" s="15" t="str"/>
      <c r="P298" s="15" t="inlineStr">
        <is>
          <t>是</t>
        </is>
      </c>
      <c r="Q298" s="15" t="str"/>
      <c r="R298" s="15" t="inlineStr">
        <is>
          <t>是</t>
        </is>
      </c>
      <c r="S298" s="15" t="n">
        <v>2048</v>
      </c>
      <c r="T298" s="15" t="inlineStr">
        <is>
          <t>Frontend; Backend/API; Data/Database</t>
        </is>
      </c>
      <c r="U298" s="15" t="inlineStr">
        <is>
          <t>Healthcare; Technology; Education/Research</t>
        </is>
      </c>
      <c r="V298" s="15" t="inlineStr">
        <is>
          <t>C:\Workspace\java\scrape_indeed\soft_dav_part_1\582.html#23404</t>
        </is>
      </c>
    </row>
    <row r="299">
      <c r="A299" s="2">
        <f>IF(COUNTIF('Sample 20'!$B$2:$B$21,B299)&gt;0,"是","")</f>
        <v/>
      </c>
      <c r="B299" s="2" t="inlineStr">
        <is>
          <t>22977</t>
        </is>
      </c>
      <c r="C299" s="15" t="inlineStr">
        <is>
          <t>Software Developer</t>
        </is>
      </c>
      <c r="D299" s="15">
        <f>IF(E299&gt;='Scoring Rules'!$B$3,"强",IF(E299&gt;='Scoring Rules'!$B$4,"中","弱"))</f>
        <v/>
      </c>
      <c r="E299" s="125">
        <f>MIN(100,H299+IF(I299&gt;=5,'Scoring Rules'!$B$16,IF(I299&gt;=3,'Scoring Rules'!$B$17,IF(I299&gt;=1,'Scoring Rules'!$B$18,'Scoring Rules'!$B$19)))+IF(L299="是",'Scoring Rules'!$B$22,0)+MIN(J299*'Scoring Rules'!$B$23,'Scoring Rules'!$B$24)+IF(M299="是",'Scoring Rules'!$B$25,0)+MIN((IF(K299="",0,LEN(K299)-LEN(SUBSTITUTE(K299,";",""))+1))*'Scoring Rules'!$B$26,'Scoring Rules'!$B$27)+IF(N299="是",'Scoring Rules'!$B$28,0)+IF(O299="是",'Scoring Rules'!$B$29,0)+IF(P299="是",'Scoring Rules'!$B$30,0)+IF(Q299="是",'Scoring Rules'!$B$31,0)+IF(R299="是",'Scoring Rules'!$B$32,0)+IF(S299&gt;=8000,'Scoring Rules'!$B$35,IF(S299&gt;=4000,'Scoring Rules'!$B$36,IF(S299&gt;=2000,'Scoring Rules'!$B$37,'Scoring Rules'!$B$38))))</f>
        <v/>
      </c>
      <c r="F299" s="15" t="inlineStr">
        <is>
          <t>Standard</t>
        </is>
      </c>
      <c r="G299" s="15" t="inlineStr">
        <is>
          <t>Master</t>
        </is>
      </c>
      <c r="H299" s="15" t="n">
        <v>16</v>
      </c>
      <c r="I299" s="15" t="n">
        <v>2</v>
      </c>
      <c r="J299" s="15" t="n">
        <v>22</v>
      </c>
      <c r="K299" s="15" t="str"/>
      <c r="L299" s="15" t="inlineStr">
        <is>
          <t>是</t>
        </is>
      </c>
      <c r="M299" s="15" t="str"/>
      <c r="N299" s="15" t="str"/>
      <c r="O299" s="15" t="str"/>
      <c r="P299" s="15" t="inlineStr">
        <is>
          <t>是</t>
        </is>
      </c>
      <c r="Q299" s="15" t="inlineStr">
        <is>
          <t>是</t>
        </is>
      </c>
      <c r="R299" s="15" t="str"/>
      <c r="S299" s="15" t="n">
        <v>5000</v>
      </c>
      <c r="T299" s="15" t="inlineStr">
        <is>
          <t>Frontend; Backend/API; Data/Database; Cloud/DevOps; Embedded/Systems</t>
        </is>
      </c>
      <c r="U299" s="15" t="inlineStr">
        <is>
          <t>Healthcare; Technology; Education/Research</t>
        </is>
      </c>
      <c r="V299" s="15" t="inlineStr">
        <is>
          <t>C:\Workspace\java\scrape_indeed\soft_dav_part_1\583.html#23405</t>
        </is>
      </c>
    </row>
    <row r="300">
      <c r="A300" s="2">
        <f>IF(COUNTIF('Sample 20'!$B$2:$B$21,B300)&gt;0,"是","")</f>
        <v/>
      </c>
      <c r="B300" s="2" t="inlineStr">
        <is>
          <t>22985</t>
        </is>
      </c>
      <c r="C300" s="15" t="inlineStr">
        <is>
          <t>Software Developer</t>
        </is>
      </c>
      <c r="D300" s="15">
        <f>IF(E300&gt;='Scoring Rules'!$B$3,"强",IF(E300&gt;='Scoring Rules'!$B$4,"中","弱"))</f>
        <v/>
      </c>
      <c r="E300" s="125">
        <f>MIN(100,H300+IF(I300&gt;=5,'Scoring Rules'!$B$16,IF(I300&gt;=3,'Scoring Rules'!$B$17,IF(I300&gt;=1,'Scoring Rules'!$B$18,'Scoring Rules'!$B$19)))+IF(L300="是",'Scoring Rules'!$B$22,0)+MIN(J300*'Scoring Rules'!$B$23,'Scoring Rules'!$B$24)+IF(M300="是",'Scoring Rules'!$B$25,0)+MIN((IF(K300="",0,LEN(K300)-LEN(SUBSTITUTE(K300,";",""))+1))*'Scoring Rules'!$B$26,'Scoring Rules'!$B$27)+IF(N300="是",'Scoring Rules'!$B$28,0)+IF(O300="是",'Scoring Rules'!$B$29,0)+IF(P300="是",'Scoring Rules'!$B$30,0)+IF(Q300="是",'Scoring Rules'!$B$31,0)+IF(R300="是",'Scoring Rules'!$B$32,0)+IF(S300&gt;=8000,'Scoring Rules'!$B$35,IF(S300&gt;=4000,'Scoring Rules'!$B$36,IF(S300&gt;=2000,'Scoring Rules'!$B$37,'Scoring Rules'!$B$38))))</f>
        <v/>
      </c>
      <c r="F300" s="15" t="inlineStr">
        <is>
          <t>Standard</t>
        </is>
      </c>
      <c r="G300" s="15" t="inlineStr">
        <is>
          <t>Bachelor</t>
        </is>
      </c>
      <c r="H300" s="15" t="n">
        <v>12</v>
      </c>
      <c r="I300" s="15" t="n">
        <v>2</v>
      </c>
      <c r="J300" s="15" t="n">
        <v>11</v>
      </c>
      <c r="K300" s="15" t="str"/>
      <c r="L300" s="15" t="inlineStr">
        <is>
          <t>是</t>
        </is>
      </c>
      <c r="M300" s="15" t="str"/>
      <c r="N300" s="15" t="str"/>
      <c r="O300" s="15" t="str"/>
      <c r="P300" s="15" t="inlineStr">
        <is>
          <t>是</t>
        </is>
      </c>
      <c r="Q300" s="15" t="inlineStr">
        <is>
          <t>是</t>
        </is>
      </c>
      <c r="R300" s="15" t="inlineStr">
        <is>
          <t>是</t>
        </is>
      </c>
      <c r="S300" s="15" t="n">
        <v>2396</v>
      </c>
      <c r="T300" s="15" t="inlineStr">
        <is>
          <t>Frontend; Backend/API; Data/Database; Cloud/DevOps</t>
        </is>
      </c>
      <c r="U300" s="15" t="inlineStr">
        <is>
          <t>Technology; Education/Research</t>
        </is>
      </c>
      <c r="V300" s="15" t="inlineStr">
        <is>
          <t>C:\Workspace\java\scrape_indeed\soft_dav_part_1\590.html#23413</t>
        </is>
      </c>
    </row>
    <row r="301">
      <c r="A301" s="2">
        <f>IF(COUNTIF('Sample 20'!$B$2:$B$21,B301)&gt;0,"是","")</f>
        <v/>
      </c>
      <c r="B301" s="2" t="inlineStr">
        <is>
          <t>22988</t>
        </is>
      </c>
      <c r="C301" s="15" t="inlineStr">
        <is>
          <t>Software Developer</t>
        </is>
      </c>
      <c r="D301" s="15">
        <f>IF(E301&gt;='Scoring Rules'!$B$3,"强",IF(E301&gt;='Scoring Rules'!$B$4,"中","弱"))</f>
        <v/>
      </c>
      <c r="E301" s="125">
        <f>MIN(100,H301+IF(I301&gt;=5,'Scoring Rules'!$B$16,IF(I301&gt;=3,'Scoring Rules'!$B$17,IF(I301&gt;=1,'Scoring Rules'!$B$18,'Scoring Rules'!$B$19)))+IF(L301="是",'Scoring Rules'!$B$22,0)+MIN(J301*'Scoring Rules'!$B$23,'Scoring Rules'!$B$24)+IF(M301="是",'Scoring Rules'!$B$25,0)+MIN((IF(K301="",0,LEN(K301)-LEN(SUBSTITUTE(K301,";",""))+1))*'Scoring Rules'!$B$26,'Scoring Rules'!$B$27)+IF(N301="是",'Scoring Rules'!$B$28,0)+IF(O301="是",'Scoring Rules'!$B$29,0)+IF(P301="是",'Scoring Rules'!$B$30,0)+IF(Q301="是",'Scoring Rules'!$B$31,0)+IF(R301="是",'Scoring Rules'!$B$32,0)+IF(S301&gt;=8000,'Scoring Rules'!$B$35,IF(S301&gt;=4000,'Scoring Rules'!$B$36,IF(S301&gt;=2000,'Scoring Rules'!$B$37,'Scoring Rules'!$B$38))))</f>
        <v/>
      </c>
      <c r="F301" s="15" t="inlineStr">
        <is>
          <t>Standard</t>
        </is>
      </c>
      <c r="G301" s="15" t="inlineStr">
        <is>
          <t>Bachelor</t>
        </is>
      </c>
      <c r="H301" s="15" t="n">
        <v>12</v>
      </c>
      <c r="I301" s="15" t="n">
        <v>3</v>
      </c>
      <c r="J301" s="15" t="n">
        <v>11</v>
      </c>
      <c r="K301" s="15" t="str"/>
      <c r="L301" s="15" t="inlineStr">
        <is>
          <t>是</t>
        </is>
      </c>
      <c r="M301" s="15" t="str"/>
      <c r="N301" s="15" t="str"/>
      <c r="O301" s="15" t="str"/>
      <c r="P301" s="15" t="str"/>
      <c r="Q301" s="15" t="inlineStr">
        <is>
          <t>是</t>
        </is>
      </c>
      <c r="R301" s="15" t="str"/>
      <c r="S301" s="15" t="n">
        <v>2432</v>
      </c>
      <c r="T301" s="15" t="inlineStr">
        <is>
          <t>Frontend; Backend/API; Data/Database</t>
        </is>
      </c>
      <c r="U301" s="15" t="inlineStr">
        <is>
          <t>Finance/Banking; Technology; Consulting; Education/Research</t>
        </is>
      </c>
      <c r="V301" s="15" t="inlineStr">
        <is>
          <t>C:\Workspace\java\scrape_indeed\soft_dav_part_1\593.html#23416</t>
        </is>
      </c>
    </row>
    <row r="302">
      <c r="A302" s="2">
        <f>IF(COUNTIF('Sample 20'!$B$2:$B$21,B302)&gt;0,"是","")</f>
        <v/>
      </c>
      <c r="B302" s="2" t="inlineStr">
        <is>
          <t>22989</t>
        </is>
      </c>
      <c r="C302" s="15" t="inlineStr">
        <is>
          <t>Software Developer</t>
        </is>
      </c>
      <c r="D302" s="15">
        <f>IF(E302&gt;='Scoring Rules'!$B$3,"强",IF(E302&gt;='Scoring Rules'!$B$4,"中","弱"))</f>
        <v/>
      </c>
      <c r="E302" s="125">
        <f>MIN(100,H302+IF(I302&gt;=5,'Scoring Rules'!$B$16,IF(I302&gt;=3,'Scoring Rules'!$B$17,IF(I302&gt;=1,'Scoring Rules'!$B$18,'Scoring Rules'!$B$19)))+IF(L302="是",'Scoring Rules'!$B$22,0)+MIN(J302*'Scoring Rules'!$B$23,'Scoring Rules'!$B$24)+IF(M302="是",'Scoring Rules'!$B$25,0)+MIN((IF(K302="",0,LEN(K302)-LEN(SUBSTITUTE(K302,";",""))+1))*'Scoring Rules'!$B$26,'Scoring Rules'!$B$27)+IF(N302="是",'Scoring Rules'!$B$28,0)+IF(O302="是",'Scoring Rules'!$B$29,0)+IF(P302="是",'Scoring Rules'!$B$30,0)+IF(Q302="是",'Scoring Rules'!$B$31,0)+IF(R302="是",'Scoring Rules'!$B$32,0)+IF(S302&gt;=8000,'Scoring Rules'!$B$35,IF(S302&gt;=4000,'Scoring Rules'!$B$36,IF(S302&gt;=2000,'Scoring Rules'!$B$37,'Scoring Rules'!$B$38))))</f>
        <v/>
      </c>
      <c r="F302" s="15" t="inlineStr">
        <is>
          <t>Standard</t>
        </is>
      </c>
      <c r="G302" s="15" t="inlineStr">
        <is>
          <t>Master</t>
        </is>
      </c>
      <c r="H302" s="15" t="n">
        <v>16</v>
      </c>
      <c r="I302" s="15" t="n">
        <v>2</v>
      </c>
      <c r="J302" s="15" t="n">
        <v>7</v>
      </c>
      <c r="K302" s="15" t="str"/>
      <c r="L302" s="15" t="inlineStr">
        <is>
          <t>是</t>
        </is>
      </c>
      <c r="M302" s="15" t="str"/>
      <c r="N302" s="15" t="str"/>
      <c r="O302" s="15" t="str"/>
      <c r="P302" s="15" t="inlineStr">
        <is>
          <t>是</t>
        </is>
      </c>
      <c r="Q302" s="15" t="inlineStr">
        <is>
          <t>是</t>
        </is>
      </c>
      <c r="R302" s="15" t="str"/>
      <c r="S302" s="15" t="n">
        <v>1410</v>
      </c>
      <c r="T302" s="15" t="inlineStr">
        <is>
          <t>Backend/API; Data/Database; Machine Learning</t>
        </is>
      </c>
      <c r="U302" s="15" t="inlineStr">
        <is>
          <t>Technology; Education/Research</t>
        </is>
      </c>
      <c r="V302" s="15" t="inlineStr">
        <is>
          <t>C:\Workspace\java\scrape_indeed\soft_dav_part_1\594.html#23417</t>
        </is>
      </c>
    </row>
    <row r="303">
      <c r="A303" s="2">
        <f>IF(COUNTIF('Sample 20'!$B$2:$B$21,B303)&gt;0,"是","")</f>
        <v/>
      </c>
      <c r="B303" s="2" t="inlineStr">
        <is>
          <t>22991</t>
        </is>
      </c>
      <c r="C303" s="15" t="inlineStr">
        <is>
          <t>Software Developer</t>
        </is>
      </c>
      <c r="D303" s="15">
        <f>IF(E303&gt;='Scoring Rules'!$B$3,"强",IF(E303&gt;='Scoring Rules'!$B$4,"中","弱"))</f>
        <v/>
      </c>
      <c r="E303" s="125">
        <f>MIN(100,H303+IF(I303&gt;=5,'Scoring Rules'!$B$16,IF(I303&gt;=3,'Scoring Rules'!$B$17,IF(I303&gt;=1,'Scoring Rules'!$B$18,'Scoring Rules'!$B$19)))+IF(L303="是",'Scoring Rules'!$B$22,0)+MIN(J303*'Scoring Rules'!$B$23,'Scoring Rules'!$B$24)+IF(M303="是",'Scoring Rules'!$B$25,0)+MIN((IF(K303="",0,LEN(K303)-LEN(SUBSTITUTE(K303,";",""))+1))*'Scoring Rules'!$B$26,'Scoring Rules'!$B$27)+IF(N303="是",'Scoring Rules'!$B$28,0)+IF(O303="是",'Scoring Rules'!$B$29,0)+IF(P303="是",'Scoring Rules'!$B$30,0)+IF(Q303="是",'Scoring Rules'!$B$31,0)+IF(R303="是",'Scoring Rules'!$B$32,0)+IF(S303&gt;=8000,'Scoring Rules'!$B$35,IF(S303&gt;=4000,'Scoring Rules'!$B$36,IF(S303&gt;=2000,'Scoring Rules'!$B$37,'Scoring Rules'!$B$38))))</f>
        <v/>
      </c>
      <c r="F303" s="15" t="inlineStr">
        <is>
          <t>Standard</t>
        </is>
      </c>
      <c r="G303" s="15" t="inlineStr">
        <is>
          <t>Master</t>
        </is>
      </c>
      <c r="H303" s="15" t="n">
        <v>16</v>
      </c>
      <c r="I303" s="15" t="n">
        <v>2</v>
      </c>
      <c r="J303" s="15" t="n">
        <v>27</v>
      </c>
      <c r="K303" s="15" t="str"/>
      <c r="L303" s="15" t="inlineStr">
        <is>
          <t>是</t>
        </is>
      </c>
      <c r="M303" s="15" t="str"/>
      <c r="N303" s="15" t="str"/>
      <c r="O303" s="15" t="str"/>
      <c r="P303" s="15" t="inlineStr">
        <is>
          <t>是</t>
        </is>
      </c>
      <c r="Q303" s="15" t="inlineStr">
        <is>
          <t>是</t>
        </is>
      </c>
      <c r="R303" s="15" t="inlineStr">
        <is>
          <t>是</t>
        </is>
      </c>
      <c r="S303" s="15" t="n">
        <v>4010</v>
      </c>
      <c r="T303" s="15" t="inlineStr">
        <is>
          <t>Frontend; Backend/API; Data/Database; Cloud/DevOps; Testing/Automation</t>
        </is>
      </c>
      <c r="U303" s="15" t="inlineStr">
        <is>
          <t>Healthcare; Technology; Education/Research; Retail/E-commerce</t>
        </is>
      </c>
      <c r="V303" s="15" t="inlineStr">
        <is>
          <t>C:\Workspace\java\scrape_indeed\soft_dav_part_1\596.html#23419</t>
        </is>
      </c>
    </row>
    <row r="304">
      <c r="A304" s="2">
        <f>IF(COUNTIF('Sample 20'!$B$2:$B$21,B304)&gt;0,"是","")</f>
        <v/>
      </c>
      <c r="B304" s="2" t="inlineStr">
        <is>
          <t>22992</t>
        </is>
      </c>
      <c r="C304" s="15" t="inlineStr">
        <is>
          <t>SOFTWARE DEVELOPER</t>
        </is>
      </c>
      <c r="D304" s="15">
        <f>IF(E304&gt;='Scoring Rules'!$B$3,"强",IF(E304&gt;='Scoring Rules'!$B$4,"中","弱"))</f>
        <v/>
      </c>
      <c r="E304" s="125">
        <f>MIN(100,H304+IF(I304&gt;=5,'Scoring Rules'!$B$16,IF(I304&gt;=3,'Scoring Rules'!$B$17,IF(I304&gt;=1,'Scoring Rules'!$B$18,'Scoring Rules'!$B$19)))+IF(L304="是",'Scoring Rules'!$B$22,0)+MIN(J304*'Scoring Rules'!$B$23,'Scoring Rules'!$B$24)+IF(M304="是",'Scoring Rules'!$B$25,0)+MIN((IF(K304="",0,LEN(K304)-LEN(SUBSTITUTE(K304,";",""))+1))*'Scoring Rules'!$B$26,'Scoring Rules'!$B$27)+IF(N304="是",'Scoring Rules'!$B$28,0)+IF(O304="是",'Scoring Rules'!$B$29,0)+IF(P304="是",'Scoring Rules'!$B$30,0)+IF(Q304="是",'Scoring Rules'!$B$31,0)+IF(R304="是",'Scoring Rules'!$B$32,0)+IF(S304&gt;=8000,'Scoring Rules'!$B$35,IF(S304&gt;=4000,'Scoring Rules'!$B$36,IF(S304&gt;=2000,'Scoring Rules'!$B$37,'Scoring Rules'!$B$38))))</f>
        <v/>
      </c>
      <c r="F304" s="15" t="inlineStr">
        <is>
          <t>Standard</t>
        </is>
      </c>
      <c r="G304" s="15" t="inlineStr">
        <is>
          <t>Master</t>
        </is>
      </c>
      <c r="H304" s="15" t="n">
        <v>16</v>
      </c>
      <c r="I304" s="15" t="n">
        <v>3</v>
      </c>
      <c r="J304" s="15" t="n">
        <v>8</v>
      </c>
      <c r="K304" s="15" t="inlineStr">
        <is>
          <t>Oracle/Java</t>
        </is>
      </c>
      <c r="L304" s="15" t="str"/>
      <c r="M304" s="15" t="inlineStr">
        <is>
          <t>是</t>
        </is>
      </c>
      <c r="N304" s="15" t="str"/>
      <c r="O304" s="15" t="inlineStr">
        <is>
          <t>是</t>
        </is>
      </c>
      <c r="P304" s="15" t="inlineStr">
        <is>
          <t>是</t>
        </is>
      </c>
      <c r="Q304" s="15" t="str"/>
      <c r="R304" s="15" t="inlineStr">
        <is>
          <t>是</t>
        </is>
      </c>
      <c r="S304" s="15" t="n">
        <v>2603</v>
      </c>
      <c r="T304" s="15" t="inlineStr">
        <is>
          <t>Backend/API; Data/Database</t>
        </is>
      </c>
      <c r="U304" s="15" t="inlineStr">
        <is>
          <t>Finance/Banking; Government/Defense; Technology; Education/Research</t>
        </is>
      </c>
      <c r="V304" s="15" t="inlineStr">
        <is>
          <t>C:\Workspace\java\scrape_indeed\soft_dav_part_1\597.html#23420</t>
        </is>
      </c>
    </row>
    <row r="305">
      <c r="A305" s="2">
        <f>IF(COUNTIF('Sample 20'!$B$2:$B$21,B305)&gt;0,"是","")</f>
        <v/>
      </c>
      <c r="B305" s="2" t="inlineStr">
        <is>
          <t>22993</t>
        </is>
      </c>
      <c r="C305" s="15" t="inlineStr">
        <is>
          <t>Software Developer</t>
        </is>
      </c>
      <c r="D305" s="15">
        <f>IF(E305&gt;='Scoring Rules'!$B$3,"强",IF(E305&gt;='Scoring Rules'!$B$4,"中","弱"))</f>
        <v/>
      </c>
      <c r="E305" s="125">
        <f>MIN(100,H305+IF(I305&gt;=5,'Scoring Rules'!$B$16,IF(I305&gt;=3,'Scoring Rules'!$B$17,IF(I305&gt;=1,'Scoring Rules'!$B$18,'Scoring Rules'!$B$19)))+IF(L305="是",'Scoring Rules'!$B$22,0)+MIN(J305*'Scoring Rules'!$B$23,'Scoring Rules'!$B$24)+IF(M305="是",'Scoring Rules'!$B$25,0)+MIN((IF(K305="",0,LEN(K305)-LEN(SUBSTITUTE(K305,";",""))+1))*'Scoring Rules'!$B$26,'Scoring Rules'!$B$27)+IF(N305="是",'Scoring Rules'!$B$28,0)+IF(O305="是",'Scoring Rules'!$B$29,0)+IF(P305="是",'Scoring Rules'!$B$30,0)+IF(Q305="是",'Scoring Rules'!$B$31,0)+IF(R305="是",'Scoring Rules'!$B$32,0)+IF(S305&gt;=8000,'Scoring Rules'!$B$35,IF(S305&gt;=4000,'Scoring Rules'!$B$36,IF(S305&gt;=2000,'Scoring Rules'!$B$37,'Scoring Rules'!$B$38))))</f>
        <v/>
      </c>
      <c r="F305" s="15" t="inlineStr">
        <is>
          <t>Standard</t>
        </is>
      </c>
      <c r="G305" s="15" t="inlineStr">
        <is>
          <t>Bachelor</t>
        </is>
      </c>
      <c r="H305" s="15" t="n">
        <v>12</v>
      </c>
      <c r="I305" s="15" t="n">
        <v>3</v>
      </c>
      <c r="J305" s="15" t="n">
        <v>17</v>
      </c>
      <c r="K305" s="15" t="str"/>
      <c r="L305" s="15" t="inlineStr">
        <is>
          <t>是</t>
        </is>
      </c>
      <c r="M305" s="15" t="str"/>
      <c r="N305" s="15" t="str"/>
      <c r="O305" s="15" t="inlineStr">
        <is>
          <t>是</t>
        </is>
      </c>
      <c r="P305" s="15" t="inlineStr">
        <is>
          <t>是</t>
        </is>
      </c>
      <c r="Q305" s="15" t="str"/>
      <c r="R305" s="15" t="inlineStr">
        <is>
          <t>是</t>
        </is>
      </c>
      <c r="S305" s="15" t="n">
        <v>1780</v>
      </c>
      <c r="T305" s="15" t="inlineStr">
        <is>
          <t>Frontend; Backend/API; Data/Database; Testing/Automation</t>
        </is>
      </c>
      <c r="U305" s="15" t="inlineStr">
        <is>
          <t>Technology; Education/Research</t>
        </is>
      </c>
      <c r="V305" s="15" t="inlineStr">
        <is>
          <t>C:\Workspace\java\scrape_indeed\soft_dav_part_1\598.html#23421</t>
        </is>
      </c>
    </row>
    <row r="306">
      <c r="A306" s="2">
        <f>IF(COUNTIF('Sample 20'!$B$2:$B$21,B306)&gt;0,"是","")</f>
        <v/>
      </c>
      <c r="B306" s="2" t="inlineStr">
        <is>
          <t>22995</t>
        </is>
      </c>
      <c r="C306" s="15" t="inlineStr">
        <is>
          <t>Software Developer</t>
        </is>
      </c>
      <c r="D306" s="15">
        <f>IF(E306&gt;='Scoring Rules'!$B$3,"强",IF(E306&gt;='Scoring Rules'!$B$4,"中","弱"))</f>
        <v/>
      </c>
      <c r="E306" s="125">
        <f>MIN(100,H306+IF(I306&gt;=5,'Scoring Rules'!$B$16,IF(I306&gt;=3,'Scoring Rules'!$B$17,IF(I306&gt;=1,'Scoring Rules'!$B$18,'Scoring Rules'!$B$19)))+IF(L306="是",'Scoring Rules'!$B$22,0)+MIN(J306*'Scoring Rules'!$B$23,'Scoring Rules'!$B$24)+IF(M306="是",'Scoring Rules'!$B$25,0)+MIN((IF(K306="",0,LEN(K306)-LEN(SUBSTITUTE(K306,";",""))+1))*'Scoring Rules'!$B$26,'Scoring Rules'!$B$27)+IF(N306="是",'Scoring Rules'!$B$28,0)+IF(O306="是",'Scoring Rules'!$B$29,0)+IF(P306="是",'Scoring Rules'!$B$30,0)+IF(Q306="是",'Scoring Rules'!$B$31,0)+IF(R306="是",'Scoring Rules'!$B$32,0)+IF(S306&gt;=8000,'Scoring Rules'!$B$35,IF(S306&gt;=4000,'Scoring Rules'!$B$36,IF(S306&gt;=2000,'Scoring Rules'!$B$37,'Scoring Rules'!$B$38))))</f>
        <v/>
      </c>
      <c r="F306" s="15" t="inlineStr">
        <is>
          <t>Standard</t>
        </is>
      </c>
      <c r="G306" s="15" t="inlineStr">
        <is>
          <t>Unspecified</t>
        </is>
      </c>
      <c r="H306" s="15" t="n">
        <v>2</v>
      </c>
      <c r="I306" s="15" t="n">
        <v>2</v>
      </c>
      <c r="J306" s="15" t="n">
        <v>15</v>
      </c>
      <c r="K306" s="15" t="str"/>
      <c r="L306" s="15" t="inlineStr">
        <is>
          <t>是</t>
        </is>
      </c>
      <c r="M306" s="15" t="str"/>
      <c r="N306" s="15" t="str"/>
      <c r="O306" s="15" t="str"/>
      <c r="P306" s="15" t="str"/>
      <c r="Q306" s="15" t="inlineStr">
        <is>
          <t>是</t>
        </is>
      </c>
      <c r="R306" s="15" t="inlineStr">
        <is>
          <t>是</t>
        </is>
      </c>
      <c r="S306" s="15" t="n">
        <v>1819</v>
      </c>
      <c r="T306" s="15" t="inlineStr">
        <is>
          <t>Frontend; Backend/API; Data/Database; Cloud/DevOps; Embedded/Systems</t>
        </is>
      </c>
      <c r="U306" s="15" t="inlineStr">
        <is>
          <t>Technology</t>
        </is>
      </c>
      <c r="V306" s="15" t="inlineStr">
        <is>
          <t>C:\Workspace\java\scrape_indeed\soft_dav_part_1\6.html#23423</t>
        </is>
      </c>
    </row>
    <row r="307">
      <c r="A307" s="2">
        <f>IF(COUNTIF('Sample 20'!$B$2:$B$21,B307)&gt;0,"是","")</f>
        <v/>
      </c>
      <c r="B307" s="2" t="inlineStr">
        <is>
          <t>22997</t>
        </is>
      </c>
      <c r="C307" s="15" t="inlineStr">
        <is>
          <t>Software Developer</t>
        </is>
      </c>
      <c r="D307" s="15">
        <f>IF(E307&gt;='Scoring Rules'!$B$3,"强",IF(E307&gt;='Scoring Rules'!$B$4,"中","弱"))</f>
        <v/>
      </c>
      <c r="E307" s="125">
        <f>MIN(100,H307+IF(I307&gt;=5,'Scoring Rules'!$B$16,IF(I307&gt;=3,'Scoring Rules'!$B$17,IF(I307&gt;=1,'Scoring Rules'!$B$18,'Scoring Rules'!$B$19)))+IF(L307="是",'Scoring Rules'!$B$22,0)+MIN(J307*'Scoring Rules'!$B$23,'Scoring Rules'!$B$24)+IF(M307="是",'Scoring Rules'!$B$25,0)+MIN((IF(K307="",0,LEN(K307)-LEN(SUBSTITUTE(K307,";",""))+1))*'Scoring Rules'!$B$26,'Scoring Rules'!$B$27)+IF(N307="是",'Scoring Rules'!$B$28,0)+IF(O307="是",'Scoring Rules'!$B$29,0)+IF(P307="是",'Scoring Rules'!$B$30,0)+IF(Q307="是",'Scoring Rules'!$B$31,0)+IF(R307="是",'Scoring Rules'!$B$32,0)+IF(S307&gt;=8000,'Scoring Rules'!$B$35,IF(S307&gt;=4000,'Scoring Rules'!$B$36,IF(S307&gt;=2000,'Scoring Rules'!$B$37,'Scoring Rules'!$B$38))))</f>
        <v/>
      </c>
      <c r="F307" s="15" t="inlineStr">
        <is>
          <t>Standard</t>
        </is>
      </c>
      <c r="G307" s="15" t="inlineStr">
        <is>
          <t>Master</t>
        </is>
      </c>
      <c r="H307" s="15" t="n">
        <v>16</v>
      </c>
      <c r="I307" s="15" t="n">
        <v>2</v>
      </c>
      <c r="J307" s="15" t="n">
        <v>16</v>
      </c>
      <c r="K307" s="15" t="str"/>
      <c r="L307" s="15" t="inlineStr">
        <is>
          <t>是</t>
        </is>
      </c>
      <c r="M307" s="15" t="str"/>
      <c r="N307" s="15" t="str"/>
      <c r="O307" s="15" t="str"/>
      <c r="P307" s="15" t="inlineStr">
        <is>
          <t>是</t>
        </is>
      </c>
      <c r="Q307" s="15" t="inlineStr">
        <is>
          <t>是</t>
        </is>
      </c>
      <c r="R307" s="15" t="inlineStr">
        <is>
          <t>是</t>
        </is>
      </c>
      <c r="S307" s="15" t="n">
        <v>2085</v>
      </c>
      <c r="T307" s="15" t="inlineStr">
        <is>
          <t>Frontend; Backend/API; Data/Database; Cloud/DevOps; Testing/Automation</t>
        </is>
      </c>
      <c r="U307" s="15" t="inlineStr">
        <is>
          <t>Technology; Education/Research</t>
        </is>
      </c>
      <c r="V307" s="15" t="inlineStr">
        <is>
          <t>C:\Workspace\java\scrape_indeed\soft_dav_part_1\600.html#23425</t>
        </is>
      </c>
    </row>
    <row r="308">
      <c r="A308" s="2">
        <f>IF(COUNTIF('Sample 20'!$B$2:$B$21,B308)&gt;0,"是","")</f>
        <v/>
      </c>
      <c r="B308" s="2" t="inlineStr">
        <is>
          <t>23001</t>
        </is>
      </c>
      <c r="C308" s="15" t="inlineStr">
        <is>
          <t>Software Developer</t>
        </is>
      </c>
      <c r="D308" s="15">
        <f>IF(E308&gt;='Scoring Rules'!$B$3,"强",IF(E308&gt;='Scoring Rules'!$B$4,"中","弱"))</f>
        <v/>
      </c>
      <c r="E308" s="125">
        <f>MIN(100,H308+IF(I308&gt;=5,'Scoring Rules'!$B$16,IF(I308&gt;=3,'Scoring Rules'!$B$17,IF(I308&gt;=1,'Scoring Rules'!$B$18,'Scoring Rules'!$B$19)))+IF(L308="是",'Scoring Rules'!$B$22,0)+MIN(J308*'Scoring Rules'!$B$23,'Scoring Rules'!$B$24)+IF(M308="是",'Scoring Rules'!$B$25,0)+MIN((IF(K308="",0,LEN(K308)-LEN(SUBSTITUTE(K308,";",""))+1))*'Scoring Rules'!$B$26,'Scoring Rules'!$B$27)+IF(N308="是",'Scoring Rules'!$B$28,0)+IF(O308="是",'Scoring Rules'!$B$29,0)+IF(P308="是",'Scoring Rules'!$B$30,0)+IF(Q308="是",'Scoring Rules'!$B$31,0)+IF(R308="是",'Scoring Rules'!$B$32,0)+IF(S308&gt;=8000,'Scoring Rules'!$B$35,IF(S308&gt;=4000,'Scoring Rules'!$B$36,IF(S308&gt;=2000,'Scoring Rules'!$B$37,'Scoring Rules'!$B$38))))</f>
        <v/>
      </c>
      <c r="F308" s="15" t="inlineStr">
        <is>
          <t>Standard</t>
        </is>
      </c>
      <c r="G308" s="15" t="inlineStr">
        <is>
          <t>Certificate</t>
        </is>
      </c>
      <c r="H308" s="15" t="n">
        <v>6</v>
      </c>
      <c r="I308" s="15" t="n">
        <v>4</v>
      </c>
      <c r="J308" s="15" t="n">
        <v>4</v>
      </c>
      <c r="K308" s="15" t="str"/>
      <c r="L308" s="15" t="inlineStr">
        <is>
          <t>是</t>
        </is>
      </c>
      <c r="M308" s="15" t="str"/>
      <c r="N308" s="15" t="str"/>
      <c r="O308" s="15" t="str"/>
      <c r="P308" s="15" t="str"/>
      <c r="Q308" s="15" t="inlineStr">
        <is>
          <t>是</t>
        </is>
      </c>
      <c r="R308" s="15" t="str"/>
      <c r="S308" s="15" t="n">
        <v>2566</v>
      </c>
      <c r="T308" s="15" t="inlineStr">
        <is>
          <t>Frontend; Backend/API</t>
        </is>
      </c>
      <c r="U308" s="15" t="inlineStr">
        <is>
          <t>Healthcare; Technology; Education/Research</t>
        </is>
      </c>
      <c r="V308" s="15" t="inlineStr">
        <is>
          <t>C:\Workspace\java\scrape_indeed\soft_dav_part_1\604.html#23429</t>
        </is>
      </c>
    </row>
    <row r="309">
      <c r="A309" s="2">
        <f>IF(COUNTIF('Sample 20'!$B$2:$B$21,B309)&gt;0,"是","")</f>
        <v/>
      </c>
      <c r="B309" s="2" t="inlineStr">
        <is>
          <t>23006</t>
        </is>
      </c>
      <c r="C309" s="15" t="inlineStr">
        <is>
          <t>Software Developer</t>
        </is>
      </c>
      <c r="D309" s="15">
        <f>IF(E309&gt;='Scoring Rules'!$B$3,"强",IF(E309&gt;='Scoring Rules'!$B$4,"中","弱"))</f>
        <v/>
      </c>
      <c r="E309" s="125">
        <f>MIN(100,H309+IF(I309&gt;=5,'Scoring Rules'!$B$16,IF(I309&gt;=3,'Scoring Rules'!$B$17,IF(I309&gt;=1,'Scoring Rules'!$B$18,'Scoring Rules'!$B$19)))+IF(L309="是",'Scoring Rules'!$B$22,0)+MIN(J309*'Scoring Rules'!$B$23,'Scoring Rules'!$B$24)+IF(M309="是",'Scoring Rules'!$B$25,0)+MIN((IF(K309="",0,LEN(K309)-LEN(SUBSTITUTE(K309,";",""))+1))*'Scoring Rules'!$B$26,'Scoring Rules'!$B$27)+IF(N309="是",'Scoring Rules'!$B$28,0)+IF(O309="是",'Scoring Rules'!$B$29,0)+IF(P309="是",'Scoring Rules'!$B$30,0)+IF(Q309="是",'Scoring Rules'!$B$31,0)+IF(R309="是",'Scoring Rules'!$B$32,0)+IF(S309&gt;=8000,'Scoring Rules'!$B$35,IF(S309&gt;=4000,'Scoring Rules'!$B$36,IF(S309&gt;=2000,'Scoring Rules'!$B$37,'Scoring Rules'!$B$38))))</f>
        <v/>
      </c>
      <c r="F309" s="15" t="inlineStr">
        <is>
          <t>Standard</t>
        </is>
      </c>
      <c r="G309" s="15" t="inlineStr">
        <is>
          <t>Master</t>
        </is>
      </c>
      <c r="H309" s="15" t="n">
        <v>16</v>
      </c>
      <c r="I309" s="15" t="n">
        <v>2</v>
      </c>
      <c r="J309" s="15" t="n">
        <v>17</v>
      </c>
      <c r="K309" s="15" t="str"/>
      <c r="L309" s="15" t="inlineStr">
        <is>
          <t>是</t>
        </is>
      </c>
      <c r="M309" s="15" t="str"/>
      <c r="N309" s="15" t="str"/>
      <c r="O309" s="15" t="str"/>
      <c r="P309" s="15" t="str"/>
      <c r="Q309" s="15" t="inlineStr">
        <is>
          <t>是</t>
        </is>
      </c>
      <c r="R309" s="15" t="inlineStr">
        <is>
          <t>是</t>
        </is>
      </c>
      <c r="S309" s="15" t="n">
        <v>3391</v>
      </c>
      <c r="T309" s="15" t="inlineStr">
        <is>
          <t>Frontend; Backend/API; Data/Database; Testing/Automation</t>
        </is>
      </c>
      <c r="U309" s="15" t="inlineStr">
        <is>
          <t>Technology; Education/Research</t>
        </is>
      </c>
      <c r="V309" s="15" t="inlineStr">
        <is>
          <t>C:\Workspace\java\scrape_indeed\soft_dav_part_1\61.html#23435</t>
        </is>
      </c>
    </row>
    <row r="310">
      <c r="A310" s="2">
        <f>IF(COUNTIF('Sample 20'!$B$2:$B$21,B310)&gt;0,"是","")</f>
        <v/>
      </c>
      <c r="B310" s="2" t="inlineStr">
        <is>
          <t>23007</t>
        </is>
      </c>
      <c r="C310" s="15" t="inlineStr">
        <is>
          <t>Software Developer</t>
        </is>
      </c>
      <c r="D310" s="15">
        <f>IF(E310&gt;='Scoring Rules'!$B$3,"强",IF(E310&gt;='Scoring Rules'!$B$4,"中","弱"))</f>
        <v/>
      </c>
      <c r="E310" s="125">
        <f>MIN(100,H310+IF(I310&gt;=5,'Scoring Rules'!$B$16,IF(I310&gt;=3,'Scoring Rules'!$B$17,IF(I310&gt;=1,'Scoring Rules'!$B$18,'Scoring Rules'!$B$19)))+IF(L310="是",'Scoring Rules'!$B$22,0)+MIN(J310*'Scoring Rules'!$B$23,'Scoring Rules'!$B$24)+IF(M310="是",'Scoring Rules'!$B$25,0)+MIN((IF(K310="",0,LEN(K310)-LEN(SUBSTITUTE(K310,";",""))+1))*'Scoring Rules'!$B$26,'Scoring Rules'!$B$27)+IF(N310="是",'Scoring Rules'!$B$28,0)+IF(O310="是",'Scoring Rules'!$B$29,0)+IF(P310="是",'Scoring Rules'!$B$30,0)+IF(Q310="是",'Scoring Rules'!$B$31,0)+IF(R310="是",'Scoring Rules'!$B$32,0)+IF(S310&gt;=8000,'Scoring Rules'!$B$35,IF(S310&gt;=4000,'Scoring Rules'!$B$36,IF(S310&gt;=2000,'Scoring Rules'!$B$37,'Scoring Rules'!$B$38))))</f>
        <v/>
      </c>
      <c r="F310" s="15" t="inlineStr">
        <is>
          <t>Standard</t>
        </is>
      </c>
      <c r="G310" s="15" t="inlineStr">
        <is>
          <t>Certificate</t>
        </is>
      </c>
      <c r="H310" s="15" t="n">
        <v>6</v>
      </c>
      <c r="I310" s="15" t="n">
        <v>4</v>
      </c>
      <c r="J310" s="15" t="n">
        <v>14</v>
      </c>
      <c r="K310" s="15" t="str"/>
      <c r="L310" s="15" t="inlineStr">
        <is>
          <t>是</t>
        </is>
      </c>
      <c r="M310" s="15" t="str"/>
      <c r="N310" s="15" t="str"/>
      <c r="O310" s="15" t="str"/>
      <c r="P310" s="15" t="str"/>
      <c r="Q310" s="15" t="inlineStr">
        <is>
          <t>是</t>
        </is>
      </c>
      <c r="R310" s="15" t="inlineStr">
        <is>
          <t>是</t>
        </is>
      </c>
      <c r="S310" s="15" t="n">
        <v>2362</v>
      </c>
      <c r="T310" s="15" t="inlineStr">
        <is>
          <t>Frontend; Backend/API; Data/Database</t>
        </is>
      </c>
      <c r="U310" s="15" t="inlineStr">
        <is>
          <t>Technology</t>
        </is>
      </c>
      <c r="V310" s="15" t="inlineStr">
        <is>
          <t>C:\Workspace\java\scrape_indeed\soft_dav_part_1\610.html#23436</t>
        </is>
      </c>
    </row>
    <row r="311">
      <c r="A311" s="2">
        <f>IF(COUNTIF('Sample 20'!$B$2:$B$21,B311)&gt;0,"是","")</f>
        <v/>
      </c>
      <c r="B311" s="2" t="inlineStr">
        <is>
          <t>23011</t>
        </is>
      </c>
      <c r="C311" s="15" t="inlineStr">
        <is>
          <t>SOFTWARE DEVELOPER</t>
        </is>
      </c>
      <c r="D311" s="15">
        <f>IF(E311&gt;='Scoring Rules'!$B$3,"强",IF(E311&gt;='Scoring Rules'!$B$4,"中","弱"))</f>
        <v/>
      </c>
      <c r="E311" s="125">
        <f>MIN(100,H311+IF(I311&gt;=5,'Scoring Rules'!$B$16,IF(I311&gt;=3,'Scoring Rules'!$B$17,IF(I311&gt;=1,'Scoring Rules'!$B$18,'Scoring Rules'!$B$19)))+IF(L311="是",'Scoring Rules'!$B$22,0)+MIN(J311*'Scoring Rules'!$B$23,'Scoring Rules'!$B$24)+IF(M311="是",'Scoring Rules'!$B$25,0)+MIN((IF(K311="",0,LEN(K311)-LEN(SUBSTITUTE(K311,";",""))+1))*'Scoring Rules'!$B$26,'Scoring Rules'!$B$27)+IF(N311="是",'Scoring Rules'!$B$28,0)+IF(O311="是",'Scoring Rules'!$B$29,0)+IF(P311="是",'Scoring Rules'!$B$30,0)+IF(Q311="是",'Scoring Rules'!$B$31,0)+IF(R311="是",'Scoring Rules'!$B$32,0)+IF(S311&gt;=8000,'Scoring Rules'!$B$35,IF(S311&gt;=4000,'Scoring Rules'!$B$36,IF(S311&gt;=2000,'Scoring Rules'!$B$37,'Scoring Rules'!$B$38))))</f>
        <v/>
      </c>
      <c r="F311" s="15" t="inlineStr">
        <is>
          <t>Standard</t>
        </is>
      </c>
      <c r="G311" s="15" t="inlineStr">
        <is>
          <t>Bachelor</t>
        </is>
      </c>
      <c r="H311" s="15" t="n">
        <v>12</v>
      </c>
      <c r="I311" s="15" t="n">
        <v>3</v>
      </c>
      <c r="J311" s="15" t="n">
        <v>14</v>
      </c>
      <c r="K311" s="15" t="str"/>
      <c r="L311" s="15" t="inlineStr">
        <is>
          <t>是</t>
        </is>
      </c>
      <c r="M311" s="15" t="str"/>
      <c r="N311" s="15" t="str"/>
      <c r="O311" s="15" t="str"/>
      <c r="P311" s="15" t="inlineStr">
        <is>
          <t>是</t>
        </is>
      </c>
      <c r="Q311" s="15" t="inlineStr">
        <is>
          <t>是</t>
        </is>
      </c>
      <c r="R311" s="15" t="inlineStr">
        <is>
          <t>是</t>
        </is>
      </c>
      <c r="S311" s="15" t="n">
        <v>2537</v>
      </c>
      <c r="T311" s="15" t="inlineStr">
        <is>
          <t>Frontend; Backend/API; Data/Database; Cloud/DevOps</t>
        </is>
      </c>
      <c r="U311" s="15" t="inlineStr">
        <is>
          <t>Technology; Telecom</t>
        </is>
      </c>
      <c r="V311" s="15" t="inlineStr">
        <is>
          <t>C:\Workspace\java\scrape_indeed\soft_dav_part_1\614.html#23440</t>
        </is>
      </c>
    </row>
    <row r="312">
      <c r="A312" s="2">
        <f>IF(COUNTIF('Sample 20'!$B$2:$B$21,B312)&gt;0,"是","")</f>
        <v/>
      </c>
      <c r="B312" s="2" t="inlineStr">
        <is>
          <t>23013</t>
        </is>
      </c>
      <c r="C312" s="15" t="inlineStr">
        <is>
          <t>Software Developer</t>
        </is>
      </c>
      <c r="D312" s="15">
        <f>IF(E312&gt;='Scoring Rules'!$B$3,"强",IF(E312&gt;='Scoring Rules'!$B$4,"中","弱"))</f>
        <v/>
      </c>
      <c r="E312" s="125">
        <f>MIN(100,H312+IF(I312&gt;=5,'Scoring Rules'!$B$16,IF(I312&gt;=3,'Scoring Rules'!$B$17,IF(I312&gt;=1,'Scoring Rules'!$B$18,'Scoring Rules'!$B$19)))+IF(L312="是",'Scoring Rules'!$B$22,0)+MIN(J312*'Scoring Rules'!$B$23,'Scoring Rules'!$B$24)+IF(M312="是",'Scoring Rules'!$B$25,0)+MIN((IF(K312="",0,LEN(K312)-LEN(SUBSTITUTE(K312,";",""))+1))*'Scoring Rules'!$B$26,'Scoring Rules'!$B$27)+IF(N312="是",'Scoring Rules'!$B$28,0)+IF(O312="是",'Scoring Rules'!$B$29,0)+IF(P312="是",'Scoring Rules'!$B$30,0)+IF(Q312="是",'Scoring Rules'!$B$31,0)+IF(R312="是",'Scoring Rules'!$B$32,0)+IF(S312&gt;=8000,'Scoring Rules'!$B$35,IF(S312&gt;=4000,'Scoring Rules'!$B$36,IF(S312&gt;=2000,'Scoring Rules'!$B$37,'Scoring Rules'!$B$38))))</f>
        <v/>
      </c>
      <c r="F312" s="15" t="inlineStr">
        <is>
          <t>Standard</t>
        </is>
      </c>
      <c r="G312" s="15" t="inlineStr">
        <is>
          <t>Bachelor</t>
        </is>
      </c>
      <c r="H312" s="15" t="n">
        <v>12</v>
      </c>
      <c r="I312" s="15" t="n">
        <v>4</v>
      </c>
      <c r="J312" s="15" t="n">
        <v>13</v>
      </c>
      <c r="K312" s="15" t="str"/>
      <c r="L312" s="15" t="inlineStr">
        <is>
          <t>是</t>
        </is>
      </c>
      <c r="M312" s="15" t="str"/>
      <c r="N312" s="15" t="str"/>
      <c r="O312" s="15" t="str"/>
      <c r="P312" s="15" t="str"/>
      <c r="Q312" s="15" t="str"/>
      <c r="R312" s="15" t="inlineStr">
        <is>
          <t>是</t>
        </is>
      </c>
      <c r="S312" s="15" t="n">
        <v>2339</v>
      </c>
      <c r="T312" s="15" t="inlineStr">
        <is>
          <t>Frontend; Backend/API; Data/Database; Cloud/DevOps</t>
        </is>
      </c>
      <c r="U312" s="15" t="inlineStr">
        <is>
          <t>Finance/Banking; Government/Defense; Technology; Education/Research</t>
        </is>
      </c>
      <c r="V312" s="15" t="inlineStr">
        <is>
          <t>C:\Workspace\java\scrape_indeed\soft_dav_part_1\616.html#23442</t>
        </is>
      </c>
    </row>
    <row r="313">
      <c r="A313" s="2">
        <f>IF(COUNTIF('Sample 20'!$B$2:$B$21,B313)&gt;0,"是","")</f>
        <v/>
      </c>
      <c r="B313" s="2" t="inlineStr">
        <is>
          <t>23014</t>
        </is>
      </c>
      <c r="C313" s="15" t="inlineStr">
        <is>
          <t>Software Developer</t>
        </is>
      </c>
      <c r="D313" s="15">
        <f>IF(E313&gt;='Scoring Rules'!$B$3,"强",IF(E313&gt;='Scoring Rules'!$B$4,"中","弱"))</f>
        <v/>
      </c>
      <c r="E313" s="125">
        <f>MIN(100,H313+IF(I313&gt;=5,'Scoring Rules'!$B$16,IF(I313&gt;=3,'Scoring Rules'!$B$17,IF(I313&gt;=1,'Scoring Rules'!$B$18,'Scoring Rules'!$B$19)))+IF(L313="是",'Scoring Rules'!$B$22,0)+MIN(J313*'Scoring Rules'!$B$23,'Scoring Rules'!$B$24)+IF(M313="是",'Scoring Rules'!$B$25,0)+MIN((IF(K313="",0,LEN(K313)-LEN(SUBSTITUTE(K313,";",""))+1))*'Scoring Rules'!$B$26,'Scoring Rules'!$B$27)+IF(N313="是",'Scoring Rules'!$B$28,0)+IF(O313="是",'Scoring Rules'!$B$29,0)+IF(P313="是",'Scoring Rules'!$B$30,0)+IF(Q313="是",'Scoring Rules'!$B$31,0)+IF(R313="是",'Scoring Rules'!$B$32,0)+IF(S313&gt;=8000,'Scoring Rules'!$B$35,IF(S313&gt;=4000,'Scoring Rules'!$B$36,IF(S313&gt;=2000,'Scoring Rules'!$B$37,'Scoring Rules'!$B$38))))</f>
        <v/>
      </c>
      <c r="F313" s="15" t="inlineStr">
        <is>
          <t>Standard</t>
        </is>
      </c>
      <c r="G313" s="15" t="inlineStr">
        <is>
          <t>Bachelor</t>
        </is>
      </c>
      <c r="H313" s="15" t="n">
        <v>12</v>
      </c>
      <c r="I313" s="15" t="n">
        <v>4</v>
      </c>
      <c r="J313" s="15" t="n">
        <v>16</v>
      </c>
      <c r="K313" s="15" t="str"/>
      <c r="L313" s="15" t="inlineStr">
        <is>
          <t>是</t>
        </is>
      </c>
      <c r="M313" s="15" t="inlineStr">
        <is>
          <t>是</t>
        </is>
      </c>
      <c r="N313" s="15" t="str"/>
      <c r="O313" s="15" t="str"/>
      <c r="P313" s="15" t="inlineStr">
        <is>
          <t>是</t>
        </is>
      </c>
      <c r="Q313" s="15" t="str"/>
      <c r="R313" s="15" t="inlineStr">
        <is>
          <t>是</t>
        </is>
      </c>
      <c r="S313" s="15" t="n">
        <v>3021</v>
      </c>
      <c r="T313" s="15" t="inlineStr">
        <is>
          <t>Frontend; Backend/API; Cloud/DevOps</t>
        </is>
      </c>
      <c r="U313" s="15" t="inlineStr">
        <is>
          <t>Finance/Banking; Technology; Education/Research</t>
        </is>
      </c>
      <c r="V313" s="15" t="inlineStr">
        <is>
          <t>C:\Workspace\java\scrape_indeed\soft_dav_part_1\617.html#23443</t>
        </is>
      </c>
    </row>
    <row r="314">
      <c r="A314" s="2">
        <f>IF(COUNTIF('Sample 20'!$B$2:$B$21,B314)&gt;0,"是","")</f>
        <v/>
      </c>
      <c r="B314" s="2" t="inlineStr">
        <is>
          <t>23024</t>
        </is>
      </c>
      <c r="C314" s="15" t="inlineStr">
        <is>
          <t>Software Developer</t>
        </is>
      </c>
      <c r="D314" s="15">
        <f>IF(E314&gt;='Scoring Rules'!$B$3,"强",IF(E314&gt;='Scoring Rules'!$B$4,"中","弱"))</f>
        <v/>
      </c>
      <c r="E314" s="125">
        <f>MIN(100,H314+IF(I314&gt;=5,'Scoring Rules'!$B$16,IF(I314&gt;=3,'Scoring Rules'!$B$17,IF(I314&gt;=1,'Scoring Rules'!$B$18,'Scoring Rules'!$B$19)))+IF(L314="是",'Scoring Rules'!$B$22,0)+MIN(J314*'Scoring Rules'!$B$23,'Scoring Rules'!$B$24)+IF(M314="是",'Scoring Rules'!$B$25,0)+MIN((IF(K314="",0,LEN(K314)-LEN(SUBSTITUTE(K314,";",""))+1))*'Scoring Rules'!$B$26,'Scoring Rules'!$B$27)+IF(N314="是",'Scoring Rules'!$B$28,0)+IF(O314="是",'Scoring Rules'!$B$29,0)+IF(P314="是",'Scoring Rules'!$B$30,0)+IF(Q314="是",'Scoring Rules'!$B$31,0)+IF(R314="是",'Scoring Rules'!$B$32,0)+IF(S314&gt;=8000,'Scoring Rules'!$B$35,IF(S314&gt;=4000,'Scoring Rules'!$B$36,IF(S314&gt;=2000,'Scoring Rules'!$B$37,'Scoring Rules'!$B$38))))</f>
        <v/>
      </c>
      <c r="F314" s="15" t="inlineStr">
        <is>
          <t>Standard</t>
        </is>
      </c>
      <c r="G314" s="15" t="inlineStr">
        <is>
          <t>Unspecified</t>
        </is>
      </c>
      <c r="H314" s="15" t="n">
        <v>2</v>
      </c>
      <c r="I314" s="15" t="n">
        <v>4</v>
      </c>
      <c r="J314" s="15" t="n">
        <v>18</v>
      </c>
      <c r="K314" s="15" t="str"/>
      <c r="L314" s="15" t="inlineStr">
        <is>
          <t>是</t>
        </is>
      </c>
      <c r="M314" s="15" t="str"/>
      <c r="N314" s="15" t="str"/>
      <c r="O314" s="15" t="str"/>
      <c r="P314" s="15" t="inlineStr">
        <is>
          <t>是</t>
        </is>
      </c>
      <c r="Q314" s="15" t="str"/>
      <c r="R314" s="15" t="inlineStr">
        <is>
          <t>是</t>
        </is>
      </c>
      <c r="S314" s="15" t="n">
        <v>2258</v>
      </c>
      <c r="T314" s="15" t="inlineStr">
        <is>
          <t>Frontend; Backend/API; Mobile; Data/Database; Cloud/DevOps; Testing/Automation; Machine Learning</t>
        </is>
      </c>
      <c r="U314" s="15" t="inlineStr">
        <is>
          <t>Technology</t>
        </is>
      </c>
      <c r="V314" s="15" t="inlineStr">
        <is>
          <t>C:\Workspace\java\scrape_indeed\soft_dav_part_1\626.html#23453</t>
        </is>
      </c>
    </row>
    <row r="315">
      <c r="A315" s="2">
        <f>IF(COUNTIF('Sample 20'!$B$2:$B$21,B315)&gt;0,"是","")</f>
        <v/>
      </c>
      <c r="B315" s="2" t="inlineStr">
        <is>
          <t>23026</t>
        </is>
      </c>
      <c r="C315" s="15" t="inlineStr">
        <is>
          <t>Software Developer</t>
        </is>
      </c>
      <c r="D315" s="15">
        <f>IF(E315&gt;='Scoring Rules'!$B$3,"强",IF(E315&gt;='Scoring Rules'!$B$4,"中","弱"))</f>
        <v/>
      </c>
      <c r="E315" s="125">
        <f>MIN(100,H315+IF(I315&gt;=5,'Scoring Rules'!$B$16,IF(I315&gt;=3,'Scoring Rules'!$B$17,IF(I315&gt;=1,'Scoring Rules'!$B$18,'Scoring Rules'!$B$19)))+IF(L315="是",'Scoring Rules'!$B$22,0)+MIN(J315*'Scoring Rules'!$B$23,'Scoring Rules'!$B$24)+IF(M315="是",'Scoring Rules'!$B$25,0)+MIN((IF(K315="",0,LEN(K315)-LEN(SUBSTITUTE(K315,";",""))+1))*'Scoring Rules'!$B$26,'Scoring Rules'!$B$27)+IF(N315="是",'Scoring Rules'!$B$28,0)+IF(O315="是",'Scoring Rules'!$B$29,0)+IF(P315="是",'Scoring Rules'!$B$30,0)+IF(Q315="是",'Scoring Rules'!$B$31,0)+IF(R315="是",'Scoring Rules'!$B$32,0)+IF(S315&gt;=8000,'Scoring Rules'!$B$35,IF(S315&gt;=4000,'Scoring Rules'!$B$36,IF(S315&gt;=2000,'Scoring Rules'!$B$37,'Scoring Rules'!$B$38))))</f>
        <v/>
      </c>
      <c r="F315" s="15" t="inlineStr">
        <is>
          <t>Standard</t>
        </is>
      </c>
      <c r="G315" s="15" t="inlineStr">
        <is>
          <t>Bachelor</t>
        </is>
      </c>
      <c r="H315" s="15" t="n">
        <v>12</v>
      </c>
      <c r="I315" s="15" t="n">
        <v>2</v>
      </c>
      <c r="J315" s="15" t="n">
        <v>16</v>
      </c>
      <c r="K315" s="15" t="str"/>
      <c r="L315" s="15" t="inlineStr">
        <is>
          <t>是</t>
        </is>
      </c>
      <c r="M315" s="15" t="str"/>
      <c r="N315" s="15" t="str"/>
      <c r="O315" s="15" t="str"/>
      <c r="P315" s="15" t="inlineStr">
        <is>
          <t>是</t>
        </is>
      </c>
      <c r="Q315" s="15" t="inlineStr">
        <is>
          <t>是</t>
        </is>
      </c>
      <c r="R315" s="15" t="str"/>
      <c r="S315" s="15" t="n">
        <v>2632</v>
      </c>
      <c r="T315" s="15" t="inlineStr">
        <is>
          <t>Frontend; Backend/API; Mobile; Data/Database; Cloud/DevOps; Testing/Automation</t>
        </is>
      </c>
      <c r="U315" s="15" t="inlineStr">
        <is>
          <t>Technology; Education/Research</t>
        </is>
      </c>
      <c r="V315" s="15" t="inlineStr">
        <is>
          <t>C:\Workspace\java\scrape_indeed\soft_dav_part_1\628.html#23455</t>
        </is>
      </c>
    </row>
    <row r="316">
      <c r="A316" s="2">
        <f>IF(COUNTIF('Sample 20'!$B$2:$B$21,B316)&gt;0,"是","")</f>
        <v/>
      </c>
      <c r="B316" s="2" t="inlineStr">
        <is>
          <t>23030</t>
        </is>
      </c>
      <c r="C316" s="15" t="inlineStr">
        <is>
          <t>Software Developer</t>
        </is>
      </c>
      <c r="D316" s="15">
        <f>IF(E316&gt;='Scoring Rules'!$B$3,"强",IF(E316&gt;='Scoring Rules'!$B$4,"中","弱"))</f>
        <v/>
      </c>
      <c r="E316" s="125">
        <f>MIN(100,H316+IF(I316&gt;=5,'Scoring Rules'!$B$16,IF(I316&gt;=3,'Scoring Rules'!$B$17,IF(I316&gt;=1,'Scoring Rules'!$B$18,'Scoring Rules'!$B$19)))+IF(L316="是",'Scoring Rules'!$B$22,0)+MIN(J316*'Scoring Rules'!$B$23,'Scoring Rules'!$B$24)+IF(M316="是",'Scoring Rules'!$B$25,0)+MIN((IF(K316="",0,LEN(K316)-LEN(SUBSTITUTE(K316,";",""))+1))*'Scoring Rules'!$B$26,'Scoring Rules'!$B$27)+IF(N316="是",'Scoring Rules'!$B$28,0)+IF(O316="是",'Scoring Rules'!$B$29,0)+IF(P316="是",'Scoring Rules'!$B$30,0)+IF(Q316="是",'Scoring Rules'!$B$31,0)+IF(R316="是",'Scoring Rules'!$B$32,0)+IF(S316&gt;=8000,'Scoring Rules'!$B$35,IF(S316&gt;=4000,'Scoring Rules'!$B$36,IF(S316&gt;=2000,'Scoring Rules'!$B$37,'Scoring Rules'!$B$38))))</f>
        <v/>
      </c>
      <c r="F316" s="15" t="inlineStr">
        <is>
          <t>Standard</t>
        </is>
      </c>
      <c r="G316" s="15" t="inlineStr">
        <is>
          <t>Associate</t>
        </is>
      </c>
      <c r="H316" s="15" t="n">
        <v>8</v>
      </c>
      <c r="I316" s="15" t="n">
        <v>3</v>
      </c>
      <c r="J316" s="15" t="n">
        <v>7</v>
      </c>
      <c r="K316" s="15" t="inlineStr">
        <is>
          <t>Microsoft/Azure</t>
        </is>
      </c>
      <c r="L316" s="15" t="inlineStr">
        <is>
          <t>是</t>
        </is>
      </c>
      <c r="M316" s="15" t="inlineStr">
        <is>
          <t>是</t>
        </is>
      </c>
      <c r="N316" s="15" t="str"/>
      <c r="O316" s="15" t="str"/>
      <c r="P316" s="15" t="inlineStr">
        <is>
          <t>是</t>
        </is>
      </c>
      <c r="Q316" s="15" t="str"/>
      <c r="R316" s="15" t="inlineStr">
        <is>
          <t>是</t>
        </is>
      </c>
      <c r="S316" s="15" t="n">
        <v>2668</v>
      </c>
      <c r="T316" s="15" t="inlineStr">
        <is>
          <t>Backend/API; Data/Database; Testing/Automation</t>
        </is>
      </c>
      <c r="U316" s="15" t="inlineStr">
        <is>
          <t>Technology; Education/Research; Retail/E-commerce</t>
        </is>
      </c>
      <c r="V316" s="15" t="inlineStr">
        <is>
          <t>C:\Workspace\java\scrape_indeed\soft_dav_part_1\631.html#23459</t>
        </is>
      </c>
    </row>
    <row r="317">
      <c r="A317" s="2">
        <f>IF(COUNTIF('Sample 20'!$B$2:$B$21,B317)&gt;0,"是","")</f>
        <v/>
      </c>
      <c r="B317" s="2" t="inlineStr">
        <is>
          <t>23036</t>
        </is>
      </c>
      <c r="C317" s="15" t="inlineStr">
        <is>
          <t>Software Developer</t>
        </is>
      </c>
      <c r="D317" s="15">
        <f>IF(E317&gt;='Scoring Rules'!$B$3,"强",IF(E317&gt;='Scoring Rules'!$B$4,"中","弱"))</f>
        <v/>
      </c>
      <c r="E317" s="125">
        <f>MIN(100,H317+IF(I317&gt;=5,'Scoring Rules'!$B$16,IF(I317&gt;=3,'Scoring Rules'!$B$17,IF(I317&gt;=1,'Scoring Rules'!$B$18,'Scoring Rules'!$B$19)))+IF(L317="是",'Scoring Rules'!$B$22,0)+MIN(J317*'Scoring Rules'!$B$23,'Scoring Rules'!$B$24)+IF(M317="是",'Scoring Rules'!$B$25,0)+MIN((IF(K317="",0,LEN(K317)-LEN(SUBSTITUTE(K317,";",""))+1))*'Scoring Rules'!$B$26,'Scoring Rules'!$B$27)+IF(N317="是",'Scoring Rules'!$B$28,0)+IF(O317="是",'Scoring Rules'!$B$29,0)+IF(P317="是",'Scoring Rules'!$B$30,0)+IF(Q317="是",'Scoring Rules'!$B$31,0)+IF(R317="是",'Scoring Rules'!$B$32,0)+IF(S317&gt;=8000,'Scoring Rules'!$B$35,IF(S317&gt;=4000,'Scoring Rules'!$B$36,IF(S317&gt;=2000,'Scoring Rules'!$B$37,'Scoring Rules'!$B$38))))</f>
        <v/>
      </c>
      <c r="F317" s="15" t="inlineStr">
        <is>
          <t>Standard</t>
        </is>
      </c>
      <c r="G317" s="15" t="inlineStr">
        <is>
          <t>Master</t>
        </is>
      </c>
      <c r="H317" s="15" t="n">
        <v>16</v>
      </c>
      <c r="I317" s="15" t="n">
        <v>4</v>
      </c>
      <c r="J317" s="15" t="n">
        <v>18</v>
      </c>
      <c r="K317" s="15" t="str"/>
      <c r="L317" s="15" t="inlineStr">
        <is>
          <t>是</t>
        </is>
      </c>
      <c r="M317" s="15" t="str"/>
      <c r="N317" s="15" t="str"/>
      <c r="O317" s="15" t="str"/>
      <c r="P317" s="15" t="inlineStr">
        <is>
          <t>是</t>
        </is>
      </c>
      <c r="Q317" s="15" t="str"/>
      <c r="R317" s="15" t="inlineStr">
        <is>
          <t>是</t>
        </is>
      </c>
      <c r="S317" s="15" t="n">
        <v>4227</v>
      </c>
      <c r="T317" s="15" t="inlineStr">
        <is>
          <t>Frontend; Backend/API; Data/Database; Cloud/DevOps; Testing/Automation</t>
        </is>
      </c>
      <c r="U317" s="15" t="inlineStr">
        <is>
          <t>Technology; Education/Research; Retail/E-commerce</t>
        </is>
      </c>
      <c r="V317" s="15" t="inlineStr">
        <is>
          <t>C:\Workspace\java\scrape_indeed\soft_dav_part_1\637.html#23465</t>
        </is>
      </c>
    </row>
    <row r="318">
      <c r="A318" s="2">
        <f>IF(COUNTIF('Sample 20'!$B$2:$B$21,B318)&gt;0,"是","")</f>
        <v/>
      </c>
      <c r="B318" s="2" t="inlineStr">
        <is>
          <t>23053</t>
        </is>
      </c>
      <c r="C318" s="15" t="inlineStr">
        <is>
          <t>Software Developer</t>
        </is>
      </c>
      <c r="D318" s="15">
        <f>IF(E318&gt;='Scoring Rules'!$B$3,"强",IF(E318&gt;='Scoring Rules'!$B$4,"中","弱"))</f>
        <v/>
      </c>
      <c r="E318" s="125">
        <f>MIN(100,H318+IF(I318&gt;=5,'Scoring Rules'!$B$16,IF(I318&gt;=3,'Scoring Rules'!$B$17,IF(I318&gt;=1,'Scoring Rules'!$B$18,'Scoring Rules'!$B$19)))+IF(L318="是",'Scoring Rules'!$B$22,0)+MIN(J318*'Scoring Rules'!$B$23,'Scoring Rules'!$B$24)+IF(M318="是",'Scoring Rules'!$B$25,0)+MIN((IF(K318="",0,LEN(K318)-LEN(SUBSTITUTE(K318,";",""))+1))*'Scoring Rules'!$B$26,'Scoring Rules'!$B$27)+IF(N318="是",'Scoring Rules'!$B$28,0)+IF(O318="是",'Scoring Rules'!$B$29,0)+IF(P318="是",'Scoring Rules'!$B$30,0)+IF(Q318="是",'Scoring Rules'!$B$31,0)+IF(R318="是",'Scoring Rules'!$B$32,0)+IF(S318&gt;=8000,'Scoring Rules'!$B$35,IF(S318&gt;=4000,'Scoring Rules'!$B$36,IF(S318&gt;=2000,'Scoring Rules'!$B$37,'Scoring Rules'!$B$38))))</f>
        <v/>
      </c>
      <c r="F318" s="15" t="inlineStr">
        <is>
          <t>Standard</t>
        </is>
      </c>
      <c r="G318" s="15" t="inlineStr">
        <is>
          <t>Unspecified</t>
        </is>
      </c>
      <c r="H318" s="15" t="n">
        <v>2</v>
      </c>
      <c r="I318" s="15" t="n">
        <v>1</v>
      </c>
      <c r="J318" s="15" t="n">
        <v>8</v>
      </c>
      <c r="K318" s="15" t="str"/>
      <c r="L318" s="15" t="inlineStr">
        <is>
          <t>是</t>
        </is>
      </c>
      <c r="M318" s="15" t="str"/>
      <c r="N318" s="15" t="str"/>
      <c r="O318" s="15" t="str"/>
      <c r="P318" s="15" t="str"/>
      <c r="Q318" s="15" t="str"/>
      <c r="R318" s="15" t="str"/>
      <c r="S318" s="15" t="n">
        <v>1606</v>
      </c>
      <c r="T318" s="15" t="inlineStr">
        <is>
          <t>Frontend; Backend/API; Data/Database</t>
        </is>
      </c>
      <c r="U318" s="15" t="inlineStr">
        <is>
          <t>Technology</t>
        </is>
      </c>
      <c r="V318" s="15" t="inlineStr">
        <is>
          <t>C:\Workspace\java\scrape_indeed\soft_dav_part_1\655.html#23485</t>
        </is>
      </c>
    </row>
    <row r="319">
      <c r="A319" s="2">
        <f>IF(COUNTIF('Sample 20'!$B$2:$B$21,B319)&gt;0,"是","")</f>
        <v/>
      </c>
      <c r="B319" s="2" t="inlineStr">
        <is>
          <t>23057</t>
        </is>
      </c>
      <c r="C319" s="15" t="inlineStr">
        <is>
          <t>Software Developer</t>
        </is>
      </c>
      <c r="D319" s="15">
        <f>IF(E319&gt;='Scoring Rules'!$B$3,"强",IF(E319&gt;='Scoring Rules'!$B$4,"中","弱"))</f>
        <v/>
      </c>
      <c r="E319" s="125">
        <f>MIN(100,H319+IF(I319&gt;=5,'Scoring Rules'!$B$16,IF(I319&gt;=3,'Scoring Rules'!$B$17,IF(I319&gt;=1,'Scoring Rules'!$B$18,'Scoring Rules'!$B$19)))+IF(L319="是",'Scoring Rules'!$B$22,0)+MIN(J319*'Scoring Rules'!$B$23,'Scoring Rules'!$B$24)+IF(M319="是",'Scoring Rules'!$B$25,0)+MIN((IF(K319="",0,LEN(K319)-LEN(SUBSTITUTE(K319,";",""))+1))*'Scoring Rules'!$B$26,'Scoring Rules'!$B$27)+IF(N319="是",'Scoring Rules'!$B$28,0)+IF(O319="是",'Scoring Rules'!$B$29,0)+IF(P319="是",'Scoring Rules'!$B$30,0)+IF(Q319="是",'Scoring Rules'!$B$31,0)+IF(R319="是",'Scoring Rules'!$B$32,0)+IF(S319&gt;=8000,'Scoring Rules'!$B$35,IF(S319&gt;=4000,'Scoring Rules'!$B$36,IF(S319&gt;=2000,'Scoring Rules'!$B$37,'Scoring Rules'!$B$38))))</f>
        <v/>
      </c>
      <c r="F319" s="15" t="inlineStr">
        <is>
          <t>Standard</t>
        </is>
      </c>
      <c r="G319" s="15" t="inlineStr">
        <is>
          <t>Master</t>
        </is>
      </c>
      <c r="H319" s="15" t="n">
        <v>16</v>
      </c>
      <c r="I319" s="15" t="n">
        <v>5</v>
      </c>
      <c r="J319" s="15" t="n">
        <v>18</v>
      </c>
      <c r="K319" s="15" t="str"/>
      <c r="L319" s="15" t="inlineStr">
        <is>
          <t>是</t>
        </is>
      </c>
      <c r="M319" s="15" t="str"/>
      <c r="N319" s="15" t="str"/>
      <c r="O319" s="15" t="str"/>
      <c r="P319" s="15" t="inlineStr">
        <is>
          <t>是</t>
        </is>
      </c>
      <c r="Q319" s="15" t="str"/>
      <c r="R319" s="15" t="inlineStr">
        <is>
          <t>是</t>
        </is>
      </c>
      <c r="S319" s="15" t="n">
        <v>3515</v>
      </c>
      <c r="T319" s="15" t="inlineStr">
        <is>
          <t>Frontend; Backend/API; Data/Database; Testing/Automation</t>
        </is>
      </c>
      <c r="U319" s="15" t="inlineStr">
        <is>
          <t>Technology; Education/Research</t>
        </is>
      </c>
      <c r="V319" s="15" t="inlineStr">
        <is>
          <t>C:\Workspace\java\scrape_indeed\soft_dav_part_1\659.html#23489</t>
        </is>
      </c>
    </row>
    <row r="320">
      <c r="A320" s="2">
        <f>IF(COUNTIF('Sample 20'!$B$2:$B$21,B320)&gt;0,"是","")</f>
        <v/>
      </c>
      <c r="B320" s="2" t="inlineStr">
        <is>
          <t>23073</t>
        </is>
      </c>
      <c r="C320" s="15" t="inlineStr">
        <is>
          <t>Software Developer</t>
        </is>
      </c>
      <c r="D320" s="15">
        <f>IF(E320&gt;='Scoring Rules'!$B$3,"强",IF(E320&gt;='Scoring Rules'!$B$4,"中","弱"))</f>
        <v/>
      </c>
      <c r="E320" s="125">
        <f>MIN(100,H320+IF(I320&gt;=5,'Scoring Rules'!$B$16,IF(I320&gt;=3,'Scoring Rules'!$B$17,IF(I320&gt;=1,'Scoring Rules'!$B$18,'Scoring Rules'!$B$19)))+IF(L320="是",'Scoring Rules'!$B$22,0)+MIN(J320*'Scoring Rules'!$B$23,'Scoring Rules'!$B$24)+IF(M320="是",'Scoring Rules'!$B$25,0)+MIN((IF(K320="",0,LEN(K320)-LEN(SUBSTITUTE(K320,";",""))+1))*'Scoring Rules'!$B$26,'Scoring Rules'!$B$27)+IF(N320="是",'Scoring Rules'!$B$28,0)+IF(O320="是",'Scoring Rules'!$B$29,0)+IF(P320="是",'Scoring Rules'!$B$30,0)+IF(Q320="是",'Scoring Rules'!$B$31,0)+IF(R320="是",'Scoring Rules'!$B$32,0)+IF(S320&gt;=8000,'Scoring Rules'!$B$35,IF(S320&gt;=4000,'Scoring Rules'!$B$36,IF(S320&gt;=2000,'Scoring Rules'!$B$37,'Scoring Rules'!$B$38))))</f>
        <v/>
      </c>
      <c r="F320" s="15" t="inlineStr">
        <is>
          <t>Standard</t>
        </is>
      </c>
      <c r="G320" s="15" t="inlineStr">
        <is>
          <t>Unspecified</t>
        </is>
      </c>
      <c r="H320" s="15" t="n">
        <v>2</v>
      </c>
      <c r="I320" s="15" t="n">
        <v>2</v>
      </c>
      <c r="J320" s="15" t="n">
        <v>9</v>
      </c>
      <c r="K320" s="15" t="str"/>
      <c r="L320" s="15" t="inlineStr">
        <is>
          <t>是</t>
        </is>
      </c>
      <c r="M320" s="15" t="inlineStr">
        <is>
          <t>是</t>
        </is>
      </c>
      <c r="N320" s="15" t="str"/>
      <c r="O320" s="15" t="str"/>
      <c r="P320" s="15" t="inlineStr">
        <is>
          <t>是</t>
        </is>
      </c>
      <c r="Q320" s="15" t="str"/>
      <c r="R320" s="15" t="inlineStr">
        <is>
          <t>是</t>
        </is>
      </c>
      <c r="S320" s="15" t="n">
        <v>1314</v>
      </c>
      <c r="T320" s="15" t="inlineStr">
        <is>
          <t>Frontend; Backend/API</t>
        </is>
      </c>
      <c r="U320" s="15" t="inlineStr">
        <is>
          <t>Technology; Education/Research</t>
        </is>
      </c>
      <c r="V320" s="15" t="inlineStr">
        <is>
          <t>C:\Workspace\java\scrape_indeed\soft_dav_part_1\673.html#23505</t>
        </is>
      </c>
    </row>
    <row r="321">
      <c r="A321" s="2">
        <f>IF(COUNTIF('Sample 20'!$B$2:$B$21,B321)&gt;0,"是","")</f>
        <v/>
      </c>
      <c r="B321" s="2" t="inlineStr">
        <is>
          <t>23080</t>
        </is>
      </c>
      <c r="C321" s="15" t="inlineStr">
        <is>
          <t>Software Developer</t>
        </is>
      </c>
      <c r="D321" s="15">
        <f>IF(E321&gt;='Scoring Rules'!$B$3,"强",IF(E321&gt;='Scoring Rules'!$B$4,"中","弱"))</f>
        <v/>
      </c>
      <c r="E321" s="125">
        <f>MIN(100,H321+IF(I321&gt;=5,'Scoring Rules'!$B$16,IF(I321&gt;=3,'Scoring Rules'!$B$17,IF(I321&gt;=1,'Scoring Rules'!$B$18,'Scoring Rules'!$B$19)))+IF(L321="是",'Scoring Rules'!$B$22,0)+MIN(J321*'Scoring Rules'!$B$23,'Scoring Rules'!$B$24)+IF(M321="是",'Scoring Rules'!$B$25,0)+MIN((IF(K321="",0,LEN(K321)-LEN(SUBSTITUTE(K321,";",""))+1))*'Scoring Rules'!$B$26,'Scoring Rules'!$B$27)+IF(N321="是",'Scoring Rules'!$B$28,0)+IF(O321="是",'Scoring Rules'!$B$29,0)+IF(P321="是",'Scoring Rules'!$B$30,0)+IF(Q321="是",'Scoring Rules'!$B$31,0)+IF(R321="是",'Scoring Rules'!$B$32,0)+IF(S321&gt;=8000,'Scoring Rules'!$B$35,IF(S321&gt;=4000,'Scoring Rules'!$B$36,IF(S321&gt;=2000,'Scoring Rules'!$B$37,'Scoring Rules'!$B$38))))</f>
        <v/>
      </c>
      <c r="F321" s="15" t="inlineStr">
        <is>
          <t>Standard</t>
        </is>
      </c>
      <c r="G321" s="15" t="inlineStr">
        <is>
          <t>Unspecified</t>
        </is>
      </c>
      <c r="H321" s="15" t="n">
        <v>2</v>
      </c>
      <c r="I321" s="15" t="n">
        <v>2</v>
      </c>
      <c r="J321" s="15" t="n">
        <v>10</v>
      </c>
      <c r="K321" s="15" t="str"/>
      <c r="L321" s="15" t="inlineStr">
        <is>
          <t>是</t>
        </is>
      </c>
      <c r="M321" s="15" t="str"/>
      <c r="N321" s="15" t="str"/>
      <c r="O321" s="15" t="str"/>
      <c r="P321" s="15" t="str"/>
      <c r="Q321" s="15" t="str"/>
      <c r="R321" s="15" t="inlineStr">
        <is>
          <t>是</t>
        </is>
      </c>
      <c r="S321" s="15" t="n">
        <v>2028</v>
      </c>
      <c r="T321" s="15" t="inlineStr">
        <is>
          <t>Frontend; Backend/API; Data/Database; Cloud/DevOps; Embedded/Systems</t>
        </is>
      </c>
      <c r="U321" s="15" t="inlineStr">
        <is>
          <t>Technology; Education/Research</t>
        </is>
      </c>
      <c r="V321" s="15" t="inlineStr">
        <is>
          <t>C:\Workspace\java\scrape_indeed\soft_dav_part_1\68.html#23512</t>
        </is>
      </c>
    </row>
    <row r="322">
      <c r="A322" s="2">
        <f>IF(COUNTIF('Sample 20'!$B$2:$B$21,B322)&gt;0,"是","")</f>
        <v/>
      </c>
      <c r="B322" s="2" t="inlineStr">
        <is>
          <t>23093</t>
        </is>
      </c>
      <c r="C322" s="15" t="inlineStr">
        <is>
          <t>Software Developer</t>
        </is>
      </c>
      <c r="D322" s="15">
        <f>IF(E322&gt;='Scoring Rules'!$B$3,"强",IF(E322&gt;='Scoring Rules'!$B$4,"中","弱"))</f>
        <v/>
      </c>
      <c r="E322" s="125">
        <f>MIN(100,H322+IF(I322&gt;=5,'Scoring Rules'!$B$16,IF(I322&gt;=3,'Scoring Rules'!$B$17,IF(I322&gt;=1,'Scoring Rules'!$B$18,'Scoring Rules'!$B$19)))+IF(L322="是",'Scoring Rules'!$B$22,0)+MIN(J322*'Scoring Rules'!$B$23,'Scoring Rules'!$B$24)+IF(M322="是",'Scoring Rules'!$B$25,0)+MIN((IF(K322="",0,LEN(K322)-LEN(SUBSTITUTE(K322,";",""))+1))*'Scoring Rules'!$B$26,'Scoring Rules'!$B$27)+IF(N322="是",'Scoring Rules'!$B$28,0)+IF(O322="是",'Scoring Rules'!$B$29,0)+IF(P322="是",'Scoring Rules'!$B$30,0)+IF(Q322="是",'Scoring Rules'!$B$31,0)+IF(R322="是",'Scoring Rules'!$B$32,0)+IF(S322&gt;=8000,'Scoring Rules'!$B$35,IF(S322&gt;=4000,'Scoring Rules'!$B$36,IF(S322&gt;=2000,'Scoring Rules'!$B$37,'Scoring Rules'!$B$38))))</f>
        <v/>
      </c>
      <c r="F322" s="15" t="inlineStr">
        <is>
          <t>Standard</t>
        </is>
      </c>
      <c r="G322" s="15" t="inlineStr">
        <is>
          <t>High School</t>
        </is>
      </c>
      <c r="H322" s="15" t="n">
        <v>5</v>
      </c>
      <c r="I322" s="15" t="n">
        <v>2</v>
      </c>
      <c r="J322" s="15" t="n">
        <v>3</v>
      </c>
      <c r="K322" s="15" t="str"/>
      <c r="L322" s="15" t="inlineStr">
        <is>
          <t>是</t>
        </is>
      </c>
      <c r="M322" s="15" t="str"/>
      <c r="N322" s="15" t="str"/>
      <c r="O322" s="15" t="str"/>
      <c r="P322" s="15" t="str"/>
      <c r="Q322" s="15" t="inlineStr">
        <is>
          <t>是</t>
        </is>
      </c>
      <c r="R322" s="15" t="str"/>
      <c r="S322" s="15" t="n">
        <v>1363</v>
      </c>
      <c r="T322" s="15" t="inlineStr">
        <is>
          <t>Backend/API; Testing/Automation</t>
        </is>
      </c>
      <c r="U322" s="15" t="inlineStr">
        <is>
          <t>Government/Defense; Technology</t>
        </is>
      </c>
      <c r="V322" s="15" t="inlineStr">
        <is>
          <t>C:\Workspace\java\scrape_indeed\soft_dav_part_1\691.html#23525</t>
        </is>
      </c>
    </row>
    <row r="323">
      <c r="A323" s="2">
        <f>IF(COUNTIF('Sample 20'!$B$2:$B$21,B323)&gt;0,"是","")</f>
        <v/>
      </c>
      <c r="B323" s="2" t="inlineStr">
        <is>
          <t>23101</t>
        </is>
      </c>
      <c r="C323" s="15" t="inlineStr">
        <is>
          <t>Software Developer</t>
        </is>
      </c>
      <c r="D323" s="15">
        <f>IF(E323&gt;='Scoring Rules'!$B$3,"强",IF(E323&gt;='Scoring Rules'!$B$4,"中","弱"))</f>
        <v/>
      </c>
      <c r="E323" s="125">
        <f>MIN(100,H323+IF(I323&gt;=5,'Scoring Rules'!$B$16,IF(I323&gt;=3,'Scoring Rules'!$B$17,IF(I323&gt;=1,'Scoring Rules'!$B$18,'Scoring Rules'!$B$19)))+IF(L323="是",'Scoring Rules'!$B$22,0)+MIN(J323*'Scoring Rules'!$B$23,'Scoring Rules'!$B$24)+IF(M323="是",'Scoring Rules'!$B$25,0)+MIN((IF(K323="",0,LEN(K323)-LEN(SUBSTITUTE(K323,";",""))+1))*'Scoring Rules'!$B$26,'Scoring Rules'!$B$27)+IF(N323="是",'Scoring Rules'!$B$28,0)+IF(O323="是",'Scoring Rules'!$B$29,0)+IF(P323="是",'Scoring Rules'!$B$30,0)+IF(Q323="是",'Scoring Rules'!$B$31,0)+IF(R323="是",'Scoring Rules'!$B$32,0)+IF(S323&gt;=8000,'Scoring Rules'!$B$35,IF(S323&gt;=4000,'Scoring Rules'!$B$36,IF(S323&gt;=2000,'Scoring Rules'!$B$37,'Scoring Rules'!$B$38))))</f>
        <v/>
      </c>
      <c r="F323" s="15" t="inlineStr">
        <is>
          <t>Standard</t>
        </is>
      </c>
      <c r="G323" s="15" t="inlineStr">
        <is>
          <t>Unspecified</t>
        </is>
      </c>
      <c r="H323" s="15" t="n">
        <v>2</v>
      </c>
      <c r="I323" s="15" t="n">
        <v>3</v>
      </c>
      <c r="J323" s="15" t="n">
        <v>12</v>
      </c>
      <c r="K323" s="15" t="str"/>
      <c r="L323" s="15" t="inlineStr">
        <is>
          <t>是</t>
        </is>
      </c>
      <c r="M323" s="15" t="str"/>
      <c r="N323" s="15" t="str"/>
      <c r="O323" s="15" t="str"/>
      <c r="P323" s="15" t="str"/>
      <c r="Q323" s="15" t="inlineStr">
        <is>
          <t>是</t>
        </is>
      </c>
      <c r="R323" s="15" t="str"/>
      <c r="S323" s="15" t="n">
        <v>1912</v>
      </c>
      <c r="T323" s="15" t="inlineStr">
        <is>
          <t>Frontend; Backend/API; Mobile; Data/Database</t>
        </is>
      </c>
      <c r="U323" s="15" t="inlineStr">
        <is>
          <t>Technology; Education/Research</t>
        </is>
      </c>
      <c r="V323" s="15" t="inlineStr">
        <is>
          <t>C:\Workspace\java\scrape_indeed\soft_dav_part_1\699.html#23533</t>
        </is>
      </c>
    </row>
    <row r="324">
      <c r="A324" s="2">
        <f>IF(COUNTIF('Sample 20'!$B$2:$B$21,B324)&gt;0,"是","")</f>
        <v/>
      </c>
      <c r="B324" s="2" t="inlineStr">
        <is>
          <t>23102</t>
        </is>
      </c>
      <c r="C324" s="15" t="inlineStr">
        <is>
          <t>Software Developer</t>
        </is>
      </c>
      <c r="D324" s="15">
        <f>IF(E324&gt;='Scoring Rules'!$B$3,"强",IF(E324&gt;='Scoring Rules'!$B$4,"中","弱"))</f>
        <v/>
      </c>
      <c r="E324" s="125">
        <f>MIN(100,H324+IF(I324&gt;=5,'Scoring Rules'!$B$16,IF(I324&gt;=3,'Scoring Rules'!$B$17,IF(I324&gt;=1,'Scoring Rules'!$B$18,'Scoring Rules'!$B$19)))+IF(L324="是",'Scoring Rules'!$B$22,0)+MIN(J324*'Scoring Rules'!$B$23,'Scoring Rules'!$B$24)+IF(M324="是",'Scoring Rules'!$B$25,0)+MIN((IF(K324="",0,LEN(K324)-LEN(SUBSTITUTE(K324,";",""))+1))*'Scoring Rules'!$B$26,'Scoring Rules'!$B$27)+IF(N324="是",'Scoring Rules'!$B$28,0)+IF(O324="是",'Scoring Rules'!$B$29,0)+IF(P324="是",'Scoring Rules'!$B$30,0)+IF(Q324="是",'Scoring Rules'!$B$31,0)+IF(R324="是",'Scoring Rules'!$B$32,0)+IF(S324&gt;=8000,'Scoring Rules'!$B$35,IF(S324&gt;=4000,'Scoring Rules'!$B$36,IF(S324&gt;=2000,'Scoring Rules'!$B$37,'Scoring Rules'!$B$38))))</f>
        <v/>
      </c>
      <c r="F324" s="15" t="inlineStr">
        <is>
          <t>Standard</t>
        </is>
      </c>
      <c r="G324" s="15" t="inlineStr">
        <is>
          <t>Unspecified</t>
        </is>
      </c>
      <c r="H324" s="15" t="n">
        <v>2</v>
      </c>
      <c r="I324" s="15" t="n">
        <v>2</v>
      </c>
      <c r="J324" s="15" t="n">
        <v>19</v>
      </c>
      <c r="K324" s="15" t="str"/>
      <c r="L324" s="15" t="inlineStr">
        <is>
          <t>是</t>
        </is>
      </c>
      <c r="M324" s="15" t="str"/>
      <c r="N324" s="15" t="str"/>
      <c r="O324" s="15" t="str"/>
      <c r="P324" s="15" t="str"/>
      <c r="Q324" s="15" t="inlineStr">
        <is>
          <t>是</t>
        </is>
      </c>
      <c r="R324" s="15" t="str"/>
      <c r="S324" s="15" t="n">
        <v>1948</v>
      </c>
      <c r="T324" s="15" t="inlineStr">
        <is>
          <t>Frontend; Backend/API; Data/Database; Cloud/DevOps; Embedded/Systems; Testing/Automation</t>
        </is>
      </c>
      <c r="U324" s="15" t="inlineStr">
        <is>
          <t>Technology; Education/Research</t>
        </is>
      </c>
      <c r="V324" s="15" t="inlineStr">
        <is>
          <t>C:\Workspace\java\scrape_indeed\soft_dav_part_1\7.html#23534</t>
        </is>
      </c>
    </row>
    <row r="325">
      <c r="A325" s="2">
        <f>IF(COUNTIF('Sample 20'!$B$2:$B$21,B325)&gt;0,"是","")</f>
        <v/>
      </c>
      <c r="B325" s="2" t="inlineStr">
        <is>
          <t>23105</t>
        </is>
      </c>
      <c r="C325" s="15" t="inlineStr">
        <is>
          <t>Software Developer</t>
        </is>
      </c>
      <c r="D325" s="15">
        <f>IF(E325&gt;='Scoring Rules'!$B$3,"强",IF(E325&gt;='Scoring Rules'!$B$4,"中","弱"))</f>
        <v/>
      </c>
      <c r="E325" s="125">
        <f>MIN(100,H325+IF(I325&gt;=5,'Scoring Rules'!$B$16,IF(I325&gt;=3,'Scoring Rules'!$B$17,IF(I325&gt;=1,'Scoring Rules'!$B$18,'Scoring Rules'!$B$19)))+IF(L325="是",'Scoring Rules'!$B$22,0)+MIN(J325*'Scoring Rules'!$B$23,'Scoring Rules'!$B$24)+IF(M325="是",'Scoring Rules'!$B$25,0)+MIN((IF(K325="",0,LEN(K325)-LEN(SUBSTITUTE(K325,";",""))+1))*'Scoring Rules'!$B$26,'Scoring Rules'!$B$27)+IF(N325="是",'Scoring Rules'!$B$28,0)+IF(O325="是",'Scoring Rules'!$B$29,0)+IF(P325="是",'Scoring Rules'!$B$30,0)+IF(Q325="是",'Scoring Rules'!$B$31,0)+IF(R325="是",'Scoring Rules'!$B$32,0)+IF(S325&gt;=8000,'Scoring Rules'!$B$35,IF(S325&gt;=4000,'Scoring Rules'!$B$36,IF(S325&gt;=2000,'Scoring Rules'!$B$37,'Scoring Rules'!$B$38))))</f>
        <v/>
      </c>
      <c r="F325" s="15" t="inlineStr">
        <is>
          <t>Standard</t>
        </is>
      </c>
      <c r="G325" s="15" t="inlineStr">
        <is>
          <t>Associate</t>
        </is>
      </c>
      <c r="H325" s="15" t="n">
        <v>8</v>
      </c>
      <c r="I325" s="15" t="n">
        <v>4</v>
      </c>
      <c r="J325" s="15" t="n">
        <v>21</v>
      </c>
      <c r="K325" s="15" t="str"/>
      <c r="L325" s="15" t="inlineStr">
        <is>
          <t>是</t>
        </is>
      </c>
      <c r="M325" s="15" t="str"/>
      <c r="N325" s="15" t="str"/>
      <c r="O325" s="15" t="str"/>
      <c r="P325" s="15" t="str"/>
      <c r="Q325" s="15" t="str"/>
      <c r="R325" s="15" t="inlineStr">
        <is>
          <t>是</t>
        </is>
      </c>
      <c r="S325" s="15" t="n">
        <v>13450</v>
      </c>
      <c r="T325" s="15" t="inlineStr">
        <is>
          <t>Frontend; Backend/API; Data/Database; Cloud/DevOps; Testing/Automation</t>
        </is>
      </c>
      <c r="U325" s="15" t="inlineStr">
        <is>
          <t>Finance/Banking; Healthcare; Technology</t>
        </is>
      </c>
      <c r="V325" s="15" t="inlineStr">
        <is>
          <t>C:\Workspace\java\scrape_indeed\soft_dav_part_1\701.html#23537</t>
        </is>
      </c>
    </row>
    <row r="326">
      <c r="A326" s="2">
        <f>IF(COUNTIF('Sample 20'!$B$2:$B$21,B326)&gt;0,"是","")</f>
        <v/>
      </c>
      <c r="B326" s="2" t="inlineStr">
        <is>
          <t>23106</t>
        </is>
      </c>
      <c r="C326" s="15" t="inlineStr">
        <is>
          <t>Software Developer</t>
        </is>
      </c>
      <c r="D326" s="15">
        <f>IF(E326&gt;='Scoring Rules'!$B$3,"强",IF(E326&gt;='Scoring Rules'!$B$4,"中","弱"))</f>
        <v/>
      </c>
      <c r="E326" s="125">
        <f>MIN(100,H326+IF(I326&gt;=5,'Scoring Rules'!$B$16,IF(I326&gt;=3,'Scoring Rules'!$B$17,IF(I326&gt;=1,'Scoring Rules'!$B$18,'Scoring Rules'!$B$19)))+IF(L326="是",'Scoring Rules'!$B$22,0)+MIN(J326*'Scoring Rules'!$B$23,'Scoring Rules'!$B$24)+IF(M326="是",'Scoring Rules'!$B$25,0)+MIN((IF(K326="",0,LEN(K326)-LEN(SUBSTITUTE(K326,";",""))+1))*'Scoring Rules'!$B$26,'Scoring Rules'!$B$27)+IF(N326="是",'Scoring Rules'!$B$28,0)+IF(O326="是",'Scoring Rules'!$B$29,0)+IF(P326="是",'Scoring Rules'!$B$30,0)+IF(Q326="是",'Scoring Rules'!$B$31,0)+IF(R326="是",'Scoring Rules'!$B$32,0)+IF(S326&gt;=8000,'Scoring Rules'!$B$35,IF(S326&gt;=4000,'Scoring Rules'!$B$36,IF(S326&gt;=2000,'Scoring Rules'!$B$37,'Scoring Rules'!$B$38))))</f>
        <v/>
      </c>
      <c r="F326" s="15" t="inlineStr">
        <is>
          <t>Standard</t>
        </is>
      </c>
      <c r="G326" s="15" t="inlineStr">
        <is>
          <t>Associate</t>
        </is>
      </c>
      <c r="H326" s="15" t="n">
        <v>8</v>
      </c>
      <c r="I326" s="15" t="n">
        <v>4</v>
      </c>
      <c r="J326" s="15" t="n">
        <v>21</v>
      </c>
      <c r="K326" s="15" t="str"/>
      <c r="L326" s="15" t="inlineStr">
        <is>
          <t>是</t>
        </is>
      </c>
      <c r="M326" s="15" t="str"/>
      <c r="N326" s="15" t="str"/>
      <c r="O326" s="15" t="str"/>
      <c r="P326" s="15" t="str"/>
      <c r="Q326" s="15" t="str"/>
      <c r="R326" s="15" t="inlineStr">
        <is>
          <t>是</t>
        </is>
      </c>
      <c r="S326" s="15" t="n">
        <v>13439</v>
      </c>
      <c r="T326" s="15" t="inlineStr">
        <is>
          <t>Frontend; Backend/API; Data/Database; Cloud/DevOps; Testing/Automation</t>
        </is>
      </c>
      <c r="U326" s="15" t="inlineStr">
        <is>
          <t>Finance/Banking; Healthcare; Technology</t>
        </is>
      </c>
      <c r="V326" s="15" t="inlineStr">
        <is>
          <t>C:\Workspace\java\scrape_indeed\soft_dav_part_1\702.html#23538</t>
        </is>
      </c>
    </row>
    <row r="327">
      <c r="A327" s="2">
        <f>IF(COUNTIF('Sample 20'!$B$2:$B$21,B327)&gt;0,"是","")</f>
        <v/>
      </c>
      <c r="B327" s="2" t="inlineStr">
        <is>
          <t>23107</t>
        </is>
      </c>
      <c r="C327" s="15" t="inlineStr">
        <is>
          <t>Software Developer</t>
        </is>
      </c>
      <c r="D327" s="15">
        <f>IF(E327&gt;='Scoring Rules'!$B$3,"强",IF(E327&gt;='Scoring Rules'!$B$4,"中","弱"))</f>
        <v/>
      </c>
      <c r="E327" s="125">
        <f>MIN(100,H327+IF(I327&gt;=5,'Scoring Rules'!$B$16,IF(I327&gt;=3,'Scoring Rules'!$B$17,IF(I327&gt;=1,'Scoring Rules'!$B$18,'Scoring Rules'!$B$19)))+IF(L327="是",'Scoring Rules'!$B$22,0)+MIN(J327*'Scoring Rules'!$B$23,'Scoring Rules'!$B$24)+IF(M327="是",'Scoring Rules'!$B$25,0)+MIN((IF(K327="",0,LEN(K327)-LEN(SUBSTITUTE(K327,";",""))+1))*'Scoring Rules'!$B$26,'Scoring Rules'!$B$27)+IF(N327="是",'Scoring Rules'!$B$28,0)+IF(O327="是",'Scoring Rules'!$B$29,0)+IF(P327="是",'Scoring Rules'!$B$30,0)+IF(Q327="是",'Scoring Rules'!$B$31,0)+IF(R327="是",'Scoring Rules'!$B$32,0)+IF(S327&gt;=8000,'Scoring Rules'!$B$35,IF(S327&gt;=4000,'Scoring Rules'!$B$36,IF(S327&gt;=2000,'Scoring Rules'!$B$37,'Scoring Rules'!$B$38))))</f>
        <v/>
      </c>
      <c r="F327" s="15" t="inlineStr">
        <is>
          <t>Standard</t>
        </is>
      </c>
      <c r="G327" s="15" t="inlineStr">
        <is>
          <t>Associate</t>
        </is>
      </c>
      <c r="H327" s="15" t="n">
        <v>8</v>
      </c>
      <c r="I327" s="15" t="n">
        <v>2</v>
      </c>
      <c r="J327" s="15" t="n">
        <v>14</v>
      </c>
      <c r="K327" s="15" t="str"/>
      <c r="L327" s="15" t="inlineStr">
        <is>
          <t>是</t>
        </is>
      </c>
      <c r="M327" s="15" t="str"/>
      <c r="N327" s="15" t="str"/>
      <c r="O327" s="15" t="str"/>
      <c r="P327" s="15" t="str"/>
      <c r="Q327" s="15" t="str"/>
      <c r="R327" s="15" t="inlineStr">
        <is>
          <t>是</t>
        </is>
      </c>
      <c r="S327" s="15" t="n">
        <v>2142</v>
      </c>
      <c r="T327" s="15" t="inlineStr">
        <is>
          <t>Frontend; Backend/API; Mobile; Data/Database</t>
        </is>
      </c>
      <c r="U327" s="15" t="inlineStr">
        <is>
          <t>Finance/Banking; Healthcare; Technology</t>
        </is>
      </c>
      <c r="V327" s="15" t="inlineStr">
        <is>
          <t>C:\Workspace\java\scrape_indeed\soft_dav_part_1\703.html#23539</t>
        </is>
      </c>
    </row>
    <row r="328">
      <c r="A328" s="2">
        <f>IF(COUNTIF('Sample 20'!$B$2:$B$21,B328)&gt;0,"是","")</f>
        <v/>
      </c>
      <c r="B328" s="2" t="inlineStr">
        <is>
          <t>23109</t>
        </is>
      </c>
      <c r="C328" s="15" t="inlineStr">
        <is>
          <t>Software Developer</t>
        </is>
      </c>
      <c r="D328" s="15">
        <f>IF(E328&gt;='Scoring Rules'!$B$3,"强",IF(E328&gt;='Scoring Rules'!$B$4,"中","弱"))</f>
        <v/>
      </c>
      <c r="E328" s="125">
        <f>MIN(100,H328+IF(I328&gt;=5,'Scoring Rules'!$B$16,IF(I328&gt;=3,'Scoring Rules'!$B$17,IF(I328&gt;=1,'Scoring Rules'!$B$18,'Scoring Rules'!$B$19)))+IF(L328="是",'Scoring Rules'!$B$22,0)+MIN(J328*'Scoring Rules'!$B$23,'Scoring Rules'!$B$24)+IF(M328="是",'Scoring Rules'!$B$25,0)+MIN((IF(K328="",0,LEN(K328)-LEN(SUBSTITUTE(K328,";",""))+1))*'Scoring Rules'!$B$26,'Scoring Rules'!$B$27)+IF(N328="是",'Scoring Rules'!$B$28,0)+IF(O328="是",'Scoring Rules'!$B$29,0)+IF(P328="是",'Scoring Rules'!$B$30,0)+IF(Q328="是",'Scoring Rules'!$B$31,0)+IF(R328="是",'Scoring Rules'!$B$32,0)+IF(S328&gt;=8000,'Scoring Rules'!$B$35,IF(S328&gt;=4000,'Scoring Rules'!$B$36,IF(S328&gt;=2000,'Scoring Rules'!$B$37,'Scoring Rules'!$B$38))))</f>
        <v/>
      </c>
      <c r="F328" s="15" t="inlineStr">
        <is>
          <t>Standard</t>
        </is>
      </c>
      <c r="G328" s="15" t="inlineStr">
        <is>
          <t>Unspecified</t>
        </is>
      </c>
      <c r="H328" s="15" t="n">
        <v>2</v>
      </c>
      <c r="I328" s="15" t="n">
        <v>3</v>
      </c>
      <c r="J328" s="15" t="n">
        <v>17</v>
      </c>
      <c r="K328" s="15" t="str"/>
      <c r="L328" s="15" t="inlineStr">
        <is>
          <t>是</t>
        </is>
      </c>
      <c r="M328" s="15" t="str"/>
      <c r="N328" s="15" t="str"/>
      <c r="O328" s="15" t="str"/>
      <c r="P328" s="15" t="str"/>
      <c r="Q328" s="15" t="inlineStr">
        <is>
          <t>是</t>
        </is>
      </c>
      <c r="R328" s="15" t="inlineStr">
        <is>
          <t>是</t>
        </is>
      </c>
      <c r="S328" s="15" t="n">
        <v>3946</v>
      </c>
      <c r="T328" s="15" t="inlineStr">
        <is>
          <t>Frontend; Backend/API; Data/Database</t>
        </is>
      </c>
      <c r="U328" s="15" t="inlineStr">
        <is>
          <t>Technology; Education/Research</t>
        </is>
      </c>
      <c r="V328" s="15" t="inlineStr">
        <is>
          <t>C:\Workspace\java\scrape_indeed\soft_dav_part_1\705.html#23541</t>
        </is>
      </c>
    </row>
    <row r="329">
      <c r="A329" s="2">
        <f>IF(COUNTIF('Sample 20'!$B$2:$B$21,B329)&gt;0,"是","")</f>
        <v/>
      </c>
      <c r="B329" s="2" t="inlineStr">
        <is>
          <t>23110</t>
        </is>
      </c>
      <c r="C329" s="15" t="inlineStr">
        <is>
          <t>Software Developer</t>
        </is>
      </c>
      <c r="D329" s="15">
        <f>IF(E329&gt;='Scoring Rules'!$B$3,"强",IF(E329&gt;='Scoring Rules'!$B$4,"中","弱"))</f>
        <v/>
      </c>
      <c r="E329" s="125">
        <f>MIN(100,H329+IF(I329&gt;=5,'Scoring Rules'!$B$16,IF(I329&gt;=3,'Scoring Rules'!$B$17,IF(I329&gt;=1,'Scoring Rules'!$B$18,'Scoring Rules'!$B$19)))+IF(L329="是",'Scoring Rules'!$B$22,0)+MIN(J329*'Scoring Rules'!$B$23,'Scoring Rules'!$B$24)+IF(M329="是",'Scoring Rules'!$B$25,0)+MIN((IF(K329="",0,LEN(K329)-LEN(SUBSTITUTE(K329,";",""))+1))*'Scoring Rules'!$B$26,'Scoring Rules'!$B$27)+IF(N329="是",'Scoring Rules'!$B$28,0)+IF(O329="是",'Scoring Rules'!$B$29,0)+IF(P329="是",'Scoring Rules'!$B$30,0)+IF(Q329="是",'Scoring Rules'!$B$31,0)+IF(R329="是",'Scoring Rules'!$B$32,0)+IF(S329&gt;=8000,'Scoring Rules'!$B$35,IF(S329&gt;=4000,'Scoring Rules'!$B$36,IF(S329&gt;=2000,'Scoring Rules'!$B$37,'Scoring Rules'!$B$38))))</f>
        <v/>
      </c>
      <c r="F329" s="15" t="inlineStr">
        <is>
          <t>Standard</t>
        </is>
      </c>
      <c r="G329" s="15" t="inlineStr">
        <is>
          <t>Bachelor</t>
        </is>
      </c>
      <c r="H329" s="15" t="n">
        <v>12</v>
      </c>
      <c r="I329" s="15" t="n">
        <v>7</v>
      </c>
      <c r="J329" s="15" t="n">
        <v>13</v>
      </c>
      <c r="K329" s="15" t="str"/>
      <c r="L329" s="15" t="str"/>
      <c r="M329" s="15" t="str"/>
      <c r="N329" s="15" t="str"/>
      <c r="O329" s="15" t="str"/>
      <c r="P329" s="15" t="str"/>
      <c r="Q329" s="15" t="str"/>
      <c r="R329" s="15" t="inlineStr">
        <is>
          <t>是</t>
        </is>
      </c>
      <c r="S329" s="15" t="n">
        <v>5341</v>
      </c>
      <c r="T329" s="15" t="inlineStr">
        <is>
          <t>Frontend; Backend/API; Data/Database; Testing/Automation</t>
        </is>
      </c>
      <c r="U329" s="15" t="inlineStr">
        <is>
          <t>Finance/Banking; Government/Defense; Technology; Consulting; Education/Research; Manufacturing/Automotive</t>
        </is>
      </c>
      <c r="V329" s="15" t="inlineStr">
        <is>
          <t>C:\Workspace\java\scrape_indeed\soft_dav_part_1\706.html#23542</t>
        </is>
      </c>
    </row>
    <row r="330">
      <c r="A330" s="2">
        <f>IF(COUNTIF('Sample 20'!$B$2:$B$21,B330)&gt;0,"是","")</f>
        <v/>
      </c>
      <c r="B330" s="2" t="inlineStr">
        <is>
          <t>23111</t>
        </is>
      </c>
      <c r="C330" s="15" t="inlineStr">
        <is>
          <t>Software Developer</t>
        </is>
      </c>
      <c r="D330" s="15">
        <f>IF(E330&gt;='Scoring Rules'!$B$3,"强",IF(E330&gt;='Scoring Rules'!$B$4,"中","弱"))</f>
        <v/>
      </c>
      <c r="E330" s="125">
        <f>MIN(100,H330+IF(I330&gt;=5,'Scoring Rules'!$B$16,IF(I330&gt;=3,'Scoring Rules'!$B$17,IF(I330&gt;=1,'Scoring Rules'!$B$18,'Scoring Rules'!$B$19)))+IF(L330="是",'Scoring Rules'!$B$22,0)+MIN(J330*'Scoring Rules'!$B$23,'Scoring Rules'!$B$24)+IF(M330="是",'Scoring Rules'!$B$25,0)+MIN((IF(K330="",0,LEN(K330)-LEN(SUBSTITUTE(K330,";",""))+1))*'Scoring Rules'!$B$26,'Scoring Rules'!$B$27)+IF(N330="是",'Scoring Rules'!$B$28,0)+IF(O330="是",'Scoring Rules'!$B$29,0)+IF(P330="是",'Scoring Rules'!$B$30,0)+IF(Q330="是",'Scoring Rules'!$B$31,0)+IF(R330="是",'Scoring Rules'!$B$32,0)+IF(S330&gt;=8000,'Scoring Rules'!$B$35,IF(S330&gt;=4000,'Scoring Rules'!$B$36,IF(S330&gt;=2000,'Scoring Rules'!$B$37,'Scoring Rules'!$B$38))))</f>
        <v/>
      </c>
      <c r="F330" s="15" t="inlineStr">
        <is>
          <t>Standard</t>
        </is>
      </c>
      <c r="G330" s="15" t="inlineStr">
        <is>
          <t>Bachelor</t>
        </is>
      </c>
      <c r="H330" s="15" t="n">
        <v>12</v>
      </c>
      <c r="I330" s="15" t="n">
        <v>3</v>
      </c>
      <c r="J330" s="15" t="n">
        <v>17</v>
      </c>
      <c r="K330" s="15" t="str"/>
      <c r="L330" s="15" t="inlineStr">
        <is>
          <t>是</t>
        </is>
      </c>
      <c r="M330" s="15" t="str"/>
      <c r="N330" s="15" t="str"/>
      <c r="O330" s="15" t="str"/>
      <c r="P330" s="15" t="str"/>
      <c r="Q330" s="15" t="inlineStr">
        <is>
          <t>是</t>
        </is>
      </c>
      <c r="R330" s="15" t="inlineStr">
        <is>
          <t>是</t>
        </is>
      </c>
      <c r="S330" s="15" t="n">
        <v>9436</v>
      </c>
      <c r="T330" s="15" t="inlineStr">
        <is>
          <t>Backend/API; Data/Database; Cloud/DevOps; Embedded/Systems; Testing/Automation</t>
        </is>
      </c>
      <c r="U330" s="15" t="inlineStr">
        <is>
          <t>Finance/Banking; Healthcare; Technology; Retail/E-commerce</t>
        </is>
      </c>
      <c r="V330" s="15" t="inlineStr">
        <is>
          <t>C:\Workspace\java\scrape_indeed\soft_dav_part_1\707.html#23543</t>
        </is>
      </c>
    </row>
    <row r="331">
      <c r="A331" s="2">
        <f>IF(COUNTIF('Sample 20'!$B$2:$B$21,B331)&gt;0,"是","")</f>
        <v/>
      </c>
      <c r="B331" s="2" t="inlineStr">
        <is>
          <t>23112</t>
        </is>
      </c>
      <c r="C331" s="15" t="inlineStr">
        <is>
          <t>Software Developer</t>
        </is>
      </c>
      <c r="D331" s="15">
        <f>IF(E331&gt;='Scoring Rules'!$B$3,"强",IF(E331&gt;='Scoring Rules'!$B$4,"中","弱"))</f>
        <v/>
      </c>
      <c r="E331" s="125">
        <f>MIN(100,H331+IF(I331&gt;=5,'Scoring Rules'!$B$16,IF(I331&gt;=3,'Scoring Rules'!$B$17,IF(I331&gt;=1,'Scoring Rules'!$B$18,'Scoring Rules'!$B$19)))+IF(L331="是",'Scoring Rules'!$B$22,0)+MIN(J331*'Scoring Rules'!$B$23,'Scoring Rules'!$B$24)+IF(M331="是",'Scoring Rules'!$B$25,0)+MIN((IF(K331="",0,LEN(K331)-LEN(SUBSTITUTE(K331,";",""))+1))*'Scoring Rules'!$B$26,'Scoring Rules'!$B$27)+IF(N331="是",'Scoring Rules'!$B$28,0)+IF(O331="是",'Scoring Rules'!$B$29,0)+IF(P331="是",'Scoring Rules'!$B$30,0)+IF(Q331="是",'Scoring Rules'!$B$31,0)+IF(R331="是",'Scoring Rules'!$B$32,0)+IF(S331&gt;=8000,'Scoring Rules'!$B$35,IF(S331&gt;=4000,'Scoring Rules'!$B$36,IF(S331&gt;=2000,'Scoring Rules'!$B$37,'Scoring Rules'!$B$38))))</f>
        <v/>
      </c>
      <c r="F331" s="15" t="inlineStr">
        <is>
          <t>Standard</t>
        </is>
      </c>
      <c r="G331" s="15" t="inlineStr">
        <is>
          <t>Bachelor</t>
        </is>
      </c>
      <c r="H331" s="15" t="n">
        <v>12</v>
      </c>
      <c r="I331" s="15" t="n">
        <v>1</v>
      </c>
      <c r="J331" s="15" t="n">
        <v>11</v>
      </c>
      <c r="K331" s="15" t="str"/>
      <c r="L331" s="15" t="str"/>
      <c r="M331" s="15" t="str"/>
      <c r="N331" s="15" t="str"/>
      <c r="O331" s="15" t="str"/>
      <c r="P331" s="15" t="str"/>
      <c r="Q331" s="15" t="str"/>
      <c r="R331" s="15" t="inlineStr">
        <is>
          <t>是</t>
        </is>
      </c>
      <c r="S331" s="15" t="n">
        <v>2560</v>
      </c>
      <c r="T331" s="15" t="inlineStr">
        <is>
          <t>Frontend; Backend/API; Data/Database</t>
        </is>
      </c>
      <c r="U331" s="15" t="inlineStr">
        <is>
          <t>Healthcare; Technology; Education/Research</t>
        </is>
      </c>
      <c r="V331" s="15" t="inlineStr">
        <is>
          <t>C:\Workspace\java\scrape_indeed\soft_dav_part_1\708.html#23544</t>
        </is>
      </c>
    </row>
    <row r="332">
      <c r="A332" s="2">
        <f>IF(COUNTIF('Sample 20'!$B$2:$B$21,B332)&gt;0,"是","")</f>
        <v/>
      </c>
      <c r="B332" s="2" t="inlineStr">
        <is>
          <t>23113</t>
        </is>
      </c>
      <c r="C332" s="15" t="inlineStr">
        <is>
          <t>Software Developer</t>
        </is>
      </c>
      <c r="D332" s="15">
        <f>IF(E332&gt;='Scoring Rules'!$B$3,"强",IF(E332&gt;='Scoring Rules'!$B$4,"中","弱"))</f>
        <v/>
      </c>
      <c r="E332" s="125">
        <f>MIN(100,H332+IF(I332&gt;=5,'Scoring Rules'!$B$16,IF(I332&gt;=3,'Scoring Rules'!$B$17,IF(I332&gt;=1,'Scoring Rules'!$B$18,'Scoring Rules'!$B$19)))+IF(L332="是",'Scoring Rules'!$B$22,0)+MIN(J332*'Scoring Rules'!$B$23,'Scoring Rules'!$B$24)+IF(M332="是",'Scoring Rules'!$B$25,0)+MIN((IF(K332="",0,LEN(K332)-LEN(SUBSTITUTE(K332,";",""))+1))*'Scoring Rules'!$B$26,'Scoring Rules'!$B$27)+IF(N332="是",'Scoring Rules'!$B$28,0)+IF(O332="是",'Scoring Rules'!$B$29,0)+IF(P332="是",'Scoring Rules'!$B$30,0)+IF(Q332="是",'Scoring Rules'!$B$31,0)+IF(R332="是",'Scoring Rules'!$B$32,0)+IF(S332&gt;=8000,'Scoring Rules'!$B$35,IF(S332&gt;=4000,'Scoring Rules'!$B$36,IF(S332&gt;=2000,'Scoring Rules'!$B$37,'Scoring Rules'!$B$38))))</f>
        <v/>
      </c>
      <c r="F332" s="15" t="inlineStr">
        <is>
          <t>Standard</t>
        </is>
      </c>
      <c r="G332" s="15" t="inlineStr">
        <is>
          <t>Unspecified</t>
        </is>
      </c>
      <c r="H332" s="15" t="n">
        <v>0</v>
      </c>
      <c r="I332" s="15" t="n">
        <v>1</v>
      </c>
      <c r="J332" s="15" t="n">
        <v>13</v>
      </c>
      <c r="K332" s="15" t="str"/>
      <c r="L332" s="15" t="str"/>
      <c r="M332" s="15" t="str"/>
      <c r="N332" s="15" t="str"/>
      <c r="O332" s="15" t="str"/>
      <c r="P332" s="15" t="str"/>
      <c r="Q332" s="15" t="str"/>
      <c r="R332" s="15" t="inlineStr">
        <is>
          <t>是</t>
        </is>
      </c>
      <c r="S332" s="15" t="n">
        <v>1858</v>
      </c>
      <c r="T332" s="15" t="inlineStr">
        <is>
          <t>Frontend; Backend/API; Data/Database</t>
        </is>
      </c>
      <c r="U332" s="15" t="inlineStr">
        <is>
          <t>Finance/Banking; Technology; Telecom; Manufacturing/Automotive</t>
        </is>
      </c>
      <c r="V332" s="15" t="inlineStr">
        <is>
          <t>C:\Workspace\java\scrape_indeed\soft_dav_part_1\709.html#23545</t>
        </is>
      </c>
    </row>
    <row r="333">
      <c r="A333" s="2">
        <f>IF(COUNTIF('Sample 20'!$B$2:$B$21,B333)&gt;0,"是","")</f>
        <v/>
      </c>
      <c r="B333" s="2" t="inlineStr">
        <is>
          <t>23116</t>
        </is>
      </c>
      <c r="C333" s="15" t="inlineStr">
        <is>
          <t>Software Developer</t>
        </is>
      </c>
      <c r="D333" s="15">
        <f>IF(E333&gt;='Scoring Rules'!$B$3,"强",IF(E333&gt;='Scoring Rules'!$B$4,"中","弱"))</f>
        <v/>
      </c>
      <c r="E333" s="125">
        <f>MIN(100,H333+IF(I333&gt;=5,'Scoring Rules'!$B$16,IF(I333&gt;=3,'Scoring Rules'!$B$17,IF(I333&gt;=1,'Scoring Rules'!$B$18,'Scoring Rules'!$B$19)))+IF(L333="是",'Scoring Rules'!$B$22,0)+MIN(J333*'Scoring Rules'!$B$23,'Scoring Rules'!$B$24)+IF(M333="是",'Scoring Rules'!$B$25,0)+MIN((IF(K333="",0,LEN(K333)-LEN(SUBSTITUTE(K333,";",""))+1))*'Scoring Rules'!$B$26,'Scoring Rules'!$B$27)+IF(N333="是",'Scoring Rules'!$B$28,0)+IF(O333="是",'Scoring Rules'!$B$29,0)+IF(P333="是",'Scoring Rules'!$B$30,0)+IF(Q333="是",'Scoring Rules'!$B$31,0)+IF(R333="是",'Scoring Rules'!$B$32,0)+IF(S333&gt;=8000,'Scoring Rules'!$B$35,IF(S333&gt;=4000,'Scoring Rules'!$B$36,IF(S333&gt;=2000,'Scoring Rules'!$B$37,'Scoring Rules'!$B$38))))</f>
        <v/>
      </c>
      <c r="F333" s="15" t="inlineStr">
        <is>
          <t>Standard</t>
        </is>
      </c>
      <c r="G333" s="15" t="inlineStr">
        <is>
          <t>Bachelor</t>
        </is>
      </c>
      <c r="H333" s="15" t="n">
        <v>12</v>
      </c>
      <c r="I333" s="15" t="n">
        <v>2</v>
      </c>
      <c r="J333" s="15" t="n">
        <v>10</v>
      </c>
      <c r="K333" s="15" t="str"/>
      <c r="L333" s="15" t="inlineStr">
        <is>
          <t>是</t>
        </is>
      </c>
      <c r="M333" s="15" t="str"/>
      <c r="N333" s="15" t="str"/>
      <c r="O333" s="15" t="str"/>
      <c r="P333" s="15" t="str"/>
      <c r="Q333" s="15" t="str"/>
      <c r="R333" s="15" t="inlineStr">
        <is>
          <t>是</t>
        </is>
      </c>
      <c r="S333" s="15" t="n">
        <v>1906</v>
      </c>
      <c r="T333" s="15" t="inlineStr">
        <is>
          <t>Frontend; Backend/API; Data/Database</t>
        </is>
      </c>
      <c r="U333" s="15" t="inlineStr">
        <is>
          <t>Technology; Education/Research</t>
        </is>
      </c>
      <c r="V333" s="15" t="inlineStr">
        <is>
          <t>C:\Workspace\java\scrape_indeed\soft_dav_part_1\711.html#23548</t>
        </is>
      </c>
    </row>
    <row r="334">
      <c r="A334" s="2">
        <f>IF(COUNTIF('Sample 20'!$B$2:$B$21,B334)&gt;0,"是","")</f>
        <v/>
      </c>
      <c r="B334" s="2" t="inlineStr">
        <is>
          <t>23121</t>
        </is>
      </c>
      <c r="C334" s="15" t="inlineStr">
        <is>
          <t>Software Developer</t>
        </is>
      </c>
      <c r="D334" s="15">
        <f>IF(E334&gt;='Scoring Rules'!$B$3,"强",IF(E334&gt;='Scoring Rules'!$B$4,"中","弱"))</f>
        <v/>
      </c>
      <c r="E334" s="125">
        <f>MIN(100,H334+IF(I334&gt;=5,'Scoring Rules'!$B$16,IF(I334&gt;=3,'Scoring Rules'!$B$17,IF(I334&gt;=1,'Scoring Rules'!$B$18,'Scoring Rules'!$B$19)))+IF(L334="是",'Scoring Rules'!$B$22,0)+MIN(J334*'Scoring Rules'!$B$23,'Scoring Rules'!$B$24)+IF(M334="是",'Scoring Rules'!$B$25,0)+MIN((IF(K334="",0,LEN(K334)-LEN(SUBSTITUTE(K334,";",""))+1))*'Scoring Rules'!$B$26,'Scoring Rules'!$B$27)+IF(N334="是",'Scoring Rules'!$B$28,0)+IF(O334="是",'Scoring Rules'!$B$29,0)+IF(P334="是",'Scoring Rules'!$B$30,0)+IF(Q334="是",'Scoring Rules'!$B$31,0)+IF(R334="是",'Scoring Rules'!$B$32,0)+IF(S334&gt;=8000,'Scoring Rules'!$B$35,IF(S334&gt;=4000,'Scoring Rules'!$B$36,IF(S334&gt;=2000,'Scoring Rules'!$B$37,'Scoring Rules'!$B$38))))</f>
        <v/>
      </c>
      <c r="F334" s="15" t="inlineStr">
        <is>
          <t>Standard</t>
        </is>
      </c>
      <c r="G334" s="15" t="inlineStr">
        <is>
          <t>Master</t>
        </is>
      </c>
      <c r="H334" s="15" t="n">
        <v>16</v>
      </c>
      <c r="I334" s="15" t="n">
        <v>2</v>
      </c>
      <c r="J334" s="15" t="n">
        <v>18</v>
      </c>
      <c r="K334" s="15" t="str"/>
      <c r="L334" s="15" t="inlineStr">
        <is>
          <t>是</t>
        </is>
      </c>
      <c r="M334" s="15" t="str"/>
      <c r="N334" s="15" t="str"/>
      <c r="O334" s="15" t="str"/>
      <c r="P334" s="15" t="inlineStr">
        <is>
          <t>是</t>
        </is>
      </c>
      <c r="Q334" s="15" t="str"/>
      <c r="R334" s="15" t="inlineStr">
        <is>
          <t>是</t>
        </is>
      </c>
      <c r="S334" s="15" t="n">
        <v>2805</v>
      </c>
      <c r="T334" s="15" t="inlineStr">
        <is>
          <t>Frontend; Backend/API; Data/Database; Cloud/DevOps; Machine Learning</t>
        </is>
      </c>
      <c r="U334" s="15" t="inlineStr">
        <is>
          <t>Government/Defense; Technology; Education/Research</t>
        </is>
      </c>
      <c r="V334" s="15" t="inlineStr">
        <is>
          <t>C:\Workspace\java\scrape_indeed\soft_dav_part_1\716.html#23553</t>
        </is>
      </c>
    </row>
    <row r="335">
      <c r="A335" s="2">
        <f>IF(COUNTIF('Sample 20'!$B$2:$B$21,B335)&gt;0,"是","")</f>
        <v/>
      </c>
      <c r="B335" s="2" t="inlineStr">
        <is>
          <t>23122</t>
        </is>
      </c>
      <c r="C335" s="15" t="inlineStr">
        <is>
          <t>Software Developer</t>
        </is>
      </c>
      <c r="D335" s="15">
        <f>IF(E335&gt;='Scoring Rules'!$B$3,"强",IF(E335&gt;='Scoring Rules'!$B$4,"中","弱"))</f>
        <v/>
      </c>
      <c r="E335" s="125">
        <f>MIN(100,H335+IF(I335&gt;=5,'Scoring Rules'!$B$16,IF(I335&gt;=3,'Scoring Rules'!$B$17,IF(I335&gt;=1,'Scoring Rules'!$B$18,'Scoring Rules'!$B$19)))+IF(L335="是",'Scoring Rules'!$B$22,0)+MIN(J335*'Scoring Rules'!$B$23,'Scoring Rules'!$B$24)+IF(M335="是",'Scoring Rules'!$B$25,0)+MIN((IF(K335="",0,LEN(K335)-LEN(SUBSTITUTE(K335,";",""))+1))*'Scoring Rules'!$B$26,'Scoring Rules'!$B$27)+IF(N335="是",'Scoring Rules'!$B$28,0)+IF(O335="是",'Scoring Rules'!$B$29,0)+IF(P335="是",'Scoring Rules'!$B$30,0)+IF(Q335="是",'Scoring Rules'!$B$31,0)+IF(R335="是",'Scoring Rules'!$B$32,0)+IF(S335&gt;=8000,'Scoring Rules'!$B$35,IF(S335&gt;=4000,'Scoring Rules'!$B$36,IF(S335&gt;=2000,'Scoring Rules'!$B$37,'Scoring Rules'!$B$38))))</f>
        <v/>
      </c>
      <c r="F335" s="15" t="inlineStr">
        <is>
          <t>Standard</t>
        </is>
      </c>
      <c r="G335" s="15" t="inlineStr">
        <is>
          <t>Bachelor</t>
        </is>
      </c>
      <c r="H335" s="15" t="n">
        <v>12</v>
      </c>
      <c r="I335" s="15" t="n">
        <v>3</v>
      </c>
      <c r="J335" s="15" t="n">
        <v>13</v>
      </c>
      <c r="K335" s="15" t="str"/>
      <c r="L335" s="15" t="inlineStr">
        <is>
          <t>是</t>
        </is>
      </c>
      <c r="M335" s="15" t="str"/>
      <c r="N335" s="15" t="str"/>
      <c r="O335" s="15" t="str"/>
      <c r="P335" s="15" t="str"/>
      <c r="Q335" s="15" t="str"/>
      <c r="R335" s="15" t="inlineStr">
        <is>
          <t>是</t>
        </is>
      </c>
      <c r="S335" s="15" t="n">
        <v>1918</v>
      </c>
      <c r="T335" s="15" t="inlineStr">
        <is>
          <t>Frontend; Backend/API; Data/Database; Cloud/DevOps</t>
        </is>
      </c>
      <c r="U335" s="15" t="inlineStr">
        <is>
          <t>Technology; Education/Research</t>
        </is>
      </c>
      <c r="V335" s="15" t="inlineStr">
        <is>
          <t>C:\Workspace\java\scrape_indeed\soft_dav_part_1\717.html#23554</t>
        </is>
      </c>
    </row>
    <row r="336">
      <c r="A336" s="2">
        <f>IF(COUNTIF('Sample 20'!$B$2:$B$21,B336)&gt;0,"是","")</f>
        <v/>
      </c>
      <c r="B336" s="2" t="inlineStr">
        <is>
          <t>23125</t>
        </is>
      </c>
      <c r="C336" s="15" t="inlineStr">
        <is>
          <t>Software Developer</t>
        </is>
      </c>
      <c r="D336" s="15">
        <f>IF(E336&gt;='Scoring Rules'!$B$3,"强",IF(E336&gt;='Scoring Rules'!$B$4,"中","弱"))</f>
        <v/>
      </c>
      <c r="E336" s="125">
        <f>MIN(100,H336+IF(I336&gt;=5,'Scoring Rules'!$B$16,IF(I336&gt;=3,'Scoring Rules'!$B$17,IF(I336&gt;=1,'Scoring Rules'!$B$18,'Scoring Rules'!$B$19)))+IF(L336="是",'Scoring Rules'!$B$22,0)+MIN(J336*'Scoring Rules'!$B$23,'Scoring Rules'!$B$24)+IF(M336="是",'Scoring Rules'!$B$25,0)+MIN((IF(K336="",0,LEN(K336)-LEN(SUBSTITUTE(K336,";",""))+1))*'Scoring Rules'!$B$26,'Scoring Rules'!$B$27)+IF(N336="是",'Scoring Rules'!$B$28,0)+IF(O336="是",'Scoring Rules'!$B$29,0)+IF(P336="是",'Scoring Rules'!$B$30,0)+IF(Q336="是",'Scoring Rules'!$B$31,0)+IF(R336="是",'Scoring Rules'!$B$32,0)+IF(S336&gt;=8000,'Scoring Rules'!$B$35,IF(S336&gt;=4000,'Scoring Rules'!$B$36,IF(S336&gt;=2000,'Scoring Rules'!$B$37,'Scoring Rules'!$B$38))))</f>
        <v/>
      </c>
      <c r="F336" s="15" t="inlineStr">
        <is>
          <t>Standard</t>
        </is>
      </c>
      <c r="G336" s="15" t="inlineStr">
        <is>
          <t>Master</t>
        </is>
      </c>
      <c r="H336" s="15" t="n">
        <v>16</v>
      </c>
      <c r="I336" s="15" t="n">
        <v>2</v>
      </c>
      <c r="J336" s="15" t="n">
        <v>19</v>
      </c>
      <c r="K336" s="15" t="str"/>
      <c r="L336" s="15" t="inlineStr">
        <is>
          <t>是</t>
        </is>
      </c>
      <c r="M336" s="15" t="str"/>
      <c r="N336" s="15" t="str"/>
      <c r="O336" s="15" t="inlineStr">
        <is>
          <t>是</t>
        </is>
      </c>
      <c r="P336" s="15" t="inlineStr">
        <is>
          <t>是</t>
        </is>
      </c>
      <c r="Q336" s="15" t="inlineStr">
        <is>
          <t>是</t>
        </is>
      </c>
      <c r="R336" s="15" t="inlineStr">
        <is>
          <t>是</t>
        </is>
      </c>
      <c r="S336" s="15" t="n">
        <v>2202</v>
      </c>
      <c r="T336" s="15" t="inlineStr">
        <is>
          <t>Frontend; Backend/API; Data/Database; Cloud/DevOps; Testing/Automation</t>
        </is>
      </c>
      <c r="U336" s="15" t="inlineStr">
        <is>
          <t>Government/Defense; Technology; Education/Research</t>
        </is>
      </c>
      <c r="V336" s="15" t="inlineStr">
        <is>
          <t>C:\Workspace\java\scrape_indeed\soft_dav_part_1\72.html#23557</t>
        </is>
      </c>
    </row>
    <row r="337">
      <c r="A337" s="2">
        <f>IF(COUNTIF('Sample 20'!$B$2:$B$21,B337)&gt;0,"是","")</f>
        <v/>
      </c>
      <c r="B337" s="2" t="inlineStr">
        <is>
          <t>23126</t>
        </is>
      </c>
      <c r="C337" s="15" t="inlineStr">
        <is>
          <t>Software Developer</t>
        </is>
      </c>
      <c r="D337" s="15">
        <f>IF(E337&gt;='Scoring Rules'!$B$3,"强",IF(E337&gt;='Scoring Rules'!$B$4,"中","弱"))</f>
        <v/>
      </c>
      <c r="E337" s="125">
        <f>MIN(100,H337+IF(I337&gt;=5,'Scoring Rules'!$B$16,IF(I337&gt;=3,'Scoring Rules'!$B$17,IF(I337&gt;=1,'Scoring Rules'!$B$18,'Scoring Rules'!$B$19)))+IF(L337="是",'Scoring Rules'!$B$22,0)+MIN(J337*'Scoring Rules'!$B$23,'Scoring Rules'!$B$24)+IF(M337="是",'Scoring Rules'!$B$25,0)+MIN((IF(K337="",0,LEN(K337)-LEN(SUBSTITUTE(K337,";",""))+1))*'Scoring Rules'!$B$26,'Scoring Rules'!$B$27)+IF(N337="是",'Scoring Rules'!$B$28,0)+IF(O337="是",'Scoring Rules'!$B$29,0)+IF(P337="是",'Scoring Rules'!$B$30,0)+IF(Q337="是",'Scoring Rules'!$B$31,0)+IF(R337="是",'Scoring Rules'!$B$32,0)+IF(S337&gt;=8000,'Scoring Rules'!$B$35,IF(S337&gt;=4000,'Scoring Rules'!$B$36,IF(S337&gt;=2000,'Scoring Rules'!$B$37,'Scoring Rules'!$B$38))))</f>
        <v/>
      </c>
      <c r="F337" s="15" t="inlineStr">
        <is>
          <t>Standard</t>
        </is>
      </c>
      <c r="G337" s="15" t="inlineStr">
        <is>
          <t>Master</t>
        </is>
      </c>
      <c r="H337" s="15" t="n">
        <v>16</v>
      </c>
      <c r="I337" s="15" t="n">
        <v>2</v>
      </c>
      <c r="J337" s="15" t="n">
        <v>7</v>
      </c>
      <c r="K337" s="15" t="str"/>
      <c r="L337" s="15" t="inlineStr">
        <is>
          <t>是</t>
        </is>
      </c>
      <c r="M337" s="15" t="str"/>
      <c r="N337" s="15" t="str"/>
      <c r="O337" s="15" t="str"/>
      <c r="P337" s="15" t="inlineStr">
        <is>
          <t>是</t>
        </is>
      </c>
      <c r="Q337" s="15" t="str"/>
      <c r="R337" s="15" t="inlineStr">
        <is>
          <t>是</t>
        </is>
      </c>
      <c r="S337" s="15" t="n">
        <v>1990</v>
      </c>
      <c r="T337" s="15" t="inlineStr">
        <is>
          <t>Backend/API; Testing/Automation</t>
        </is>
      </c>
      <c r="U337" s="15" t="inlineStr">
        <is>
          <t>Technology; Telecom</t>
        </is>
      </c>
      <c r="V337" s="15" t="inlineStr">
        <is>
          <t>C:\Workspace\java\scrape_indeed\soft_dav_part_1\720.html#23558</t>
        </is>
      </c>
    </row>
    <row r="338">
      <c r="A338" s="2">
        <f>IF(COUNTIF('Sample 20'!$B$2:$B$21,B338)&gt;0,"是","")</f>
        <v/>
      </c>
      <c r="B338" s="2" t="inlineStr">
        <is>
          <t>23127</t>
        </is>
      </c>
      <c r="C338" s="15" t="inlineStr">
        <is>
          <t>Software Developer</t>
        </is>
      </c>
      <c r="D338" s="15">
        <f>IF(E338&gt;='Scoring Rules'!$B$3,"强",IF(E338&gt;='Scoring Rules'!$B$4,"中","弱"))</f>
        <v/>
      </c>
      <c r="E338" s="125">
        <f>MIN(100,H338+IF(I338&gt;=5,'Scoring Rules'!$B$16,IF(I338&gt;=3,'Scoring Rules'!$B$17,IF(I338&gt;=1,'Scoring Rules'!$B$18,'Scoring Rules'!$B$19)))+IF(L338="是",'Scoring Rules'!$B$22,0)+MIN(J338*'Scoring Rules'!$B$23,'Scoring Rules'!$B$24)+IF(M338="是",'Scoring Rules'!$B$25,0)+MIN((IF(K338="",0,LEN(K338)-LEN(SUBSTITUTE(K338,";",""))+1))*'Scoring Rules'!$B$26,'Scoring Rules'!$B$27)+IF(N338="是",'Scoring Rules'!$B$28,0)+IF(O338="是",'Scoring Rules'!$B$29,0)+IF(P338="是",'Scoring Rules'!$B$30,0)+IF(Q338="是",'Scoring Rules'!$B$31,0)+IF(R338="是",'Scoring Rules'!$B$32,0)+IF(S338&gt;=8000,'Scoring Rules'!$B$35,IF(S338&gt;=4000,'Scoring Rules'!$B$36,IF(S338&gt;=2000,'Scoring Rules'!$B$37,'Scoring Rules'!$B$38))))</f>
        <v/>
      </c>
      <c r="F338" s="15" t="inlineStr">
        <is>
          <t>Standard</t>
        </is>
      </c>
      <c r="G338" s="15" t="inlineStr">
        <is>
          <t>Unspecified</t>
        </is>
      </c>
      <c r="H338" s="15" t="n">
        <v>2</v>
      </c>
      <c r="I338" s="15" t="n">
        <v>2</v>
      </c>
      <c r="J338" s="15" t="n">
        <v>22</v>
      </c>
      <c r="K338" s="15" t="str"/>
      <c r="L338" s="15" t="inlineStr">
        <is>
          <t>是</t>
        </is>
      </c>
      <c r="M338" s="15" t="str"/>
      <c r="N338" s="15" t="str"/>
      <c r="O338" s="15" t="str"/>
      <c r="P338" s="15" t="str"/>
      <c r="Q338" s="15" t="str"/>
      <c r="R338" s="15" t="inlineStr">
        <is>
          <t>是</t>
        </is>
      </c>
      <c r="S338" s="15" t="n">
        <v>4028</v>
      </c>
      <c r="T338" s="15" t="inlineStr">
        <is>
          <t>Frontend; Backend/API; Data/Database; Cloud/DevOps</t>
        </is>
      </c>
      <c r="U338" s="15" t="inlineStr">
        <is>
          <t>Technology; Education/Research</t>
        </is>
      </c>
      <c r="V338" s="15" t="inlineStr">
        <is>
          <t>C:\Workspace\java\scrape_indeed\soft_dav_part_1\721.html#23559</t>
        </is>
      </c>
    </row>
    <row r="339">
      <c r="A339" s="2">
        <f>IF(COUNTIF('Sample 20'!$B$2:$B$21,B339)&gt;0,"是","")</f>
        <v/>
      </c>
      <c r="B339" s="2" t="inlineStr">
        <is>
          <t>23129</t>
        </is>
      </c>
      <c r="C339" s="15" t="inlineStr">
        <is>
          <t>Software Developer</t>
        </is>
      </c>
      <c r="D339" s="15">
        <f>IF(E339&gt;='Scoring Rules'!$B$3,"强",IF(E339&gt;='Scoring Rules'!$B$4,"中","弱"))</f>
        <v/>
      </c>
      <c r="E339" s="125">
        <f>MIN(100,H339+IF(I339&gt;=5,'Scoring Rules'!$B$16,IF(I339&gt;=3,'Scoring Rules'!$B$17,IF(I339&gt;=1,'Scoring Rules'!$B$18,'Scoring Rules'!$B$19)))+IF(L339="是",'Scoring Rules'!$B$22,0)+MIN(J339*'Scoring Rules'!$B$23,'Scoring Rules'!$B$24)+IF(M339="是",'Scoring Rules'!$B$25,0)+MIN((IF(K339="",0,LEN(K339)-LEN(SUBSTITUTE(K339,";",""))+1))*'Scoring Rules'!$B$26,'Scoring Rules'!$B$27)+IF(N339="是",'Scoring Rules'!$B$28,0)+IF(O339="是",'Scoring Rules'!$B$29,0)+IF(P339="是",'Scoring Rules'!$B$30,0)+IF(Q339="是",'Scoring Rules'!$B$31,0)+IF(R339="是",'Scoring Rules'!$B$32,0)+IF(S339&gt;=8000,'Scoring Rules'!$B$35,IF(S339&gt;=4000,'Scoring Rules'!$B$36,IF(S339&gt;=2000,'Scoring Rules'!$B$37,'Scoring Rules'!$B$38))))</f>
        <v/>
      </c>
      <c r="F339" s="15" t="inlineStr">
        <is>
          <t>Standard</t>
        </is>
      </c>
      <c r="G339" s="15" t="inlineStr">
        <is>
          <t>Master</t>
        </is>
      </c>
      <c r="H339" s="15" t="n">
        <v>16</v>
      </c>
      <c r="I339" s="15" t="n">
        <v>3</v>
      </c>
      <c r="J339" s="15" t="n">
        <v>19</v>
      </c>
      <c r="K339" s="15" t="str"/>
      <c r="L339" s="15" t="inlineStr">
        <is>
          <t>是</t>
        </is>
      </c>
      <c r="M339" s="15" t="str"/>
      <c r="N339" s="15" t="str"/>
      <c r="O339" s="15" t="str"/>
      <c r="P339" s="15" t="str"/>
      <c r="Q339" s="15" t="str"/>
      <c r="R339" s="15" t="str"/>
      <c r="S339" s="15" t="n">
        <v>1957</v>
      </c>
      <c r="T339" s="15" t="inlineStr">
        <is>
          <t>Frontend; Backend/API; Mobile; Data/Database</t>
        </is>
      </c>
      <c r="U339" s="15" t="inlineStr">
        <is>
          <t>Technology; Education/Research</t>
        </is>
      </c>
      <c r="V339" s="15" t="inlineStr">
        <is>
          <t>C:\Workspace\java\scrape_indeed\soft_dav_part_1\723.html#23561</t>
        </is>
      </c>
    </row>
    <row r="340">
      <c r="A340" s="2">
        <f>IF(COUNTIF('Sample 20'!$B$2:$B$21,B340)&gt;0,"是","")</f>
        <v/>
      </c>
      <c r="B340" s="2" t="inlineStr">
        <is>
          <t>23131</t>
        </is>
      </c>
      <c r="C340" s="15" t="inlineStr">
        <is>
          <t>Software Developer</t>
        </is>
      </c>
      <c r="D340" s="15">
        <f>IF(E340&gt;='Scoring Rules'!$B$3,"强",IF(E340&gt;='Scoring Rules'!$B$4,"中","弱"))</f>
        <v/>
      </c>
      <c r="E340" s="125">
        <f>MIN(100,H340+IF(I340&gt;=5,'Scoring Rules'!$B$16,IF(I340&gt;=3,'Scoring Rules'!$B$17,IF(I340&gt;=1,'Scoring Rules'!$B$18,'Scoring Rules'!$B$19)))+IF(L340="是",'Scoring Rules'!$B$22,0)+MIN(J340*'Scoring Rules'!$B$23,'Scoring Rules'!$B$24)+IF(M340="是",'Scoring Rules'!$B$25,0)+MIN((IF(K340="",0,LEN(K340)-LEN(SUBSTITUTE(K340,";",""))+1))*'Scoring Rules'!$B$26,'Scoring Rules'!$B$27)+IF(N340="是",'Scoring Rules'!$B$28,0)+IF(O340="是",'Scoring Rules'!$B$29,0)+IF(P340="是",'Scoring Rules'!$B$30,0)+IF(Q340="是",'Scoring Rules'!$B$31,0)+IF(R340="是",'Scoring Rules'!$B$32,0)+IF(S340&gt;=8000,'Scoring Rules'!$B$35,IF(S340&gt;=4000,'Scoring Rules'!$B$36,IF(S340&gt;=2000,'Scoring Rules'!$B$37,'Scoring Rules'!$B$38))))</f>
        <v/>
      </c>
      <c r="F340" s="15" t="inlineStr">
        <is>
          <t>Standard</t>
        </is>
      </c>
      <c r="G340" s="15" t="inlineStr">
        <is>
          <t>Bachelor</t>
        </is>
      </c>
      <c r="H340" s="15" t="n">
        <v>12</v>
      </c>
      <c r="I340" s="15" t="n">
        <v>3</v>
      </c>
      <c r="J340" s="15" t="n">
        <v>16</v>
      </c>
      <c r="K340" s="15" t="str"/>
      <c r="L340" s="15" t="str"/>
      <c r="M340" s="15" t="str"/>
      <c r="N340" s="15" t="str"/>
      <c r="O340" s="15" t="str"/>
      <c r="P340" s="15" t="str"/>
      <c r="Q340" s="15" t="str"/>
      <c r="R340" s="15" t="inlineStr">
        <is>
          <t>是</t>
        </is>
      </c>
      <c r="S340" s="15" t="n">
        <v>7092</v>
      </c>
      <c r="T340" s="15" t="inlineStr">
        <is>
          <t>Frontend; Backend/API; Data/Database; Embedded/Systems; Testing/Automation</t>
        </is>
      </c>
      <c r="U340" s="15" t="inlineStr">
        <is>
          <t>Healthcare; Technology</t>
        </is>
      </c>
      <c r="V340" s="15" t="inlineStr">
        <is>
          <t>C:\Workspace\java\scrape_indeed\soft_dav_part_1\725.html#23563</t>
        </is>
      </c>
    </row>
    <row r="341">
      <c r="A341" s="2">
        <f>IF(COUNTIF('Sample 20'!$B$2:$B$21,B341)&gt;0,"是","")</f>
        <v/>
      </c>
      <c r="B341" s="2" t="inlineStr">
        <is>
          <t>23132</t>
        </is>
      </c>
      <c r="C341" s="15" t="inlineStr">
        <is>
          <t>Software Developer</t>
        </is>
      </c>
      <c r="D341" s="15">
        <f>IF(E341&gt;='Scoring Rules'!$B$3,"强",IF(E341&gt;='Scoring Rules'!$B$4,"中","弱"))</f>
        <v/>
      </c>
      <c r="E341" s="125">
        <f>MIN(100,H341+IF(I341&gt;=5,'Scoring Rules'!$B$16,IF(I341&gt;=3,'Scoring Rules'!$B$17,IF(I341&gt;=1,'Scoring Rules'!$B$18,'Scoring Rules'!$B$19)))+IF(L341="是",'Scoring Rules'!$B$22,0)+MIN(J341*'Scoring Rules'!$B$23,'Scoring Rules'!$B$24)+IF(M341="是",'Scoring Rules'!$B$25,0)+MIN((IF(K341="",0,LEN(K341)-LEN(SUBSTITUTE(K341,";",""))+1))*'Scoring Rules'!$B$26,'Scoring Rules'!$B$27)+IF(N341="是",'Scoring Rules'!$B$28,0)+IF(O341="是",'Scoring Rules'!$B$29,0)+IF(P341="是",'Scoring Rules'!$B$30,0)+IF(Q341="是",'Scoring Rules'!$B$31,0)+IF(R341="是",'Scoring Rules'!$B$32,0)+IF(S341&gt;=8000,'Scoring Rules'!$B$35,IF(S341&gt;=4000,'Scoring Rules'!$B$36,IF(S341&gt;=2000,'Scoring Rules'!$B$37,'Scoring Rules'!$B$38))))</f>
        <v/>
      </c>
      <c r="F341" s="15" t="inlineStr">
        <is>
          <t>Standard</t>
        </is>
      </c>
      <c r="G341" s="15" t="inlineStr">
        <is>
          <t>Bachelor</t>
        </is>
      </c>
      <c r="H341" s="15" t="n">
        <v>12</v>
      </c>
      <c r="I341" s="15" t="n">
        <v>2</v>
      </c>
      <c r="J341" s="15" t="n">
        <v>22</v>
      </c>
      <c r="K341" s="15" t="str"/>
      <c r="L341" s="15" t="inlineStr">
        <is>
          <t>是</t>
        </is>
      </c>
      <c r="M341" s="15" t="str"/>
      <c r="N341" s="15" t="str"/>
      <c r="O341" s="15" t="str"/>
      <c r="P341" s="15" t="inlineStr">
        <is>
          <t>是</t>
        </is>
      </c>
      <c r="Q341" s="15" t="inlineStr">
        <is>
          <t>是</t>
        </is>
      </c>
      <c r="R341" s="15" t="inlineStr">
        <is>
          <t>是</t>
        </is>
      </c>
      <c r="S341" s="15" t="n">
        <v>3169</v>
      </c>
      <c r="T341" s="15" t="inlineStr">
        <is>
          <t>Frontend; Backend/API; Data/Database; Cloud/DevOps</t>
        </is>
      </c>
      <c r="U341" s="15" t="inlineStr">
        <is>
          <t>Technology; Education/Research</t>
        </is>
      </c>
      <c r="V341" s="15" t="inlineStr">
        <is>
          <t>C:\Workspace\java\scrape_indeed\soft_dav_part_1\726.html#23564</t>
        </is>
      </c>
    </row>
    <row r="342">
      <c r="A342" s="2">
        <f>IF(COUNTIF('Sample 20'!$B$2:$B$21,B342)&gt;0,"是","")</f>
        <v/>
      </c>
      <c r="B342" s="2" t="inlineStr">
        <is>
          <t>23137</t>
        </is>
      </c>
      <c r="C342" s="15" t="inlineStr">
        <is>
          <t>Software Developer</t>
        </is>
      </c>
      <c r="D342" s="15">
        <f>IF(E342&gt;='Scoring Rules'!$B$3,"强",IF(E342&gt;='Scoring Rules'!$B$4,"中","弱"))</f>
        <v/>
      </c>
      <c r="E342" s="125">
        <f>MIN(100,H342+IF(I342&gt;=5,'Scoring Rules'!$B$16,IF(I342&gt;=3,'Scoring Rules'!$B$17,IF(I342&gt;=1,'Scoring Rules'!$B$18,'Scoring Rules'!$B$19)))+IF(L342="是",'Scoring Rules'!$B$22,0)+MIN(J342*'Scoring Rules'!$B$23,'Scoring Rules'!$B$24)+IF(M342="是",'Scoring Rules'!$B$25,0)+MIN((IF(K342="",0,LEN(K342)-LEN(SUBSTITUTE(K342,";",""))+1))*'Scoring Rules'!$B$26,'Scoring Rules'!$B$27)+IF(N342="是",'Scoring Rules'!$B$28,0)+IF(O342="是",'Scoring Rules'!$B$29,0)+IF(P342="是",'Scoring Rules'!$B$30,0)+IF(Q342="是",'Scoring Rules'!$B$31,0)+IF(R342="是",'Scoring Rules'!$B$32,0)+IF(S342&gt;=8000,'Scoring Rules'!$B$35,IF(S342&gt;=4000,'Scoring Rules'!$B$36,IF(S342&gt;=2000,'Scoring Rules'!$B$37,'Scoring Rules'!$B$38))))</f>
        <v/>
      </c>
      <c r="F342" s="15" t="inlineStr">
        <is>
          <t>Standard</t>
        </is>
      </c>
      <c r="G342" s="15" t="inlineStr">
        <is>
          <t>Master</t>
        </is>
      </c>
      <c r="H342" s="15" t="n">
        <v>16</v>
      </c>
      <c r="I342" s="15" t="n">
        <v>2</v>
      </c>
      <c r="J342" s="15" t="n">
        <v>12</v>
      </c>
      <c r="K342" s="15" t="str"/>
      <c r="L342" s="15" t="inlineStr">
        <is>
          <t>是</t>
        </is>
      </c>
      <c r="M342" s="15" t="str"/>
      <c r="N342" s="15" t="str"/>
      <c r="O342" s="15" t="inlineStr">
        <is>
          <t>是</t>
        </is>
      </c>
      <c r="P342" s="15" t="str"/>
      <c r="Q342" s="15" t="str"/>
      <c r="R342" s="15" t="inlineStr">
        <is>
          <t>是</t>
        </is>
      </c>
      <c r="S342" s="15" t="n">
        <v>3324</v>
      </c>
      <c r="T342" s="15" t="inlineStr">
        <is>
          <t>Frontend; Backend/API; Data/Database</t>
        </is>
      </c>
      <c r="U342" s="15" t="inlineStr">
        <is>
          <t>Finance/Banking; Government/Defense; Technology; Education/Research</t>
        </is>
      </c>
      <c r="V342" s="15" t="inlineStr">
        <is>
          <t>C:\Workspace\java\scrape_indeed\soft_dav_part_1\730.html#23569</t>
        </is>
      </c>
    </row>
    <row r="343">
      <c r="A343" s="2">
        <f>IF(COUNTIF('Sample 20'!$B$2:$B$21,B343)&gt;0,"是","")</f>
        <v/>
      </c>
      <c r="B343" s="2" t="inlineStr">
        <is>
          <t>23141</t>
        </is>
      </c>
      <c r="C343" s="15" t="inlineStr">
        <is>
          <t>Software Developer</t>
        </is>
      </c>
      <c r="D343" s="15">
        <f>IF(E343&gt;='Scoring Rules'!$B$3,"强",IF(E343&gt;='Scoring Rules'!$B$4,"中","弱"))</f>
        <v/>
      </c>
      <c r="E343" s="125">
        <f>MIN(100,H343+IF(I343&gt;=5,'Scoring Rules'!$B$16,IF(I343&gt;=3,'Scoring Rules'!$B$17,IF(I343&gt;=1,'Scoring Rules'!$B$18,'Scoring Rules'!$B$19)))+IF(L343="是",'Scoring Rules'!$B$22,0)+MIN(J343*'Scoring Rules'!$B$23,'Scoring Rules'!$B$24)+IF(M343="是",'Scoring Rules'!$B$25,0)+MIN((IF(K343="",0,LEN(K343)-LEN(SUBSTITUTE(K343,";",""))+1))*'Scoring Rules'!$B$26,'Scoring Rules'!$B$27)+IF(N343="是",'Scoring Rules'!$B$28,0)+IF(O343="是",'Scoring Rules'!$B$29,0)+IF(P343="是",'Scoring Rules'!$B$30,0)+IF(Q343="是",'Scoring Rules'!$B$31,0)+IF(R343="是",'Scoring Rules'!$B$32,0)+IF(S343&gt;=8000,'Scoring Rules'!$B$35,IF(S343&gt;=4000,'Scoring Rules'!$B$36,IF(S343&gt;=2000,'Scoring Rules'!$B$37,'Scoring Rules'!$B$38))))</f>
        <v/>
      </c>
      <c r="F343" s="15" t="inlineStr">
        <is>
          <t>Standard</t>
        </is>
      </c>
      <c r="G343" s="15" t="inlineStr">
        <is>
          <t>Bachelor</t>
        </is>
      </c>
      <c r="H343" s="15" t="n">
        <v>12</v>
      </c>
      <c r="I343" s="15" t="n">
        <v>2</v>
      </c>
      <c r="J343" s="15" t="n">
        <v>8</v>
      </c>
      <c r="K343" s="15" t="str"/>
      <c r="L343" s="15" t="inlineStr">
        <is>
          <t>是</t>
        </is>
      </c>
      <c r="M343" s="15" t="str"/>
      <c r="N343" s="15" t="str"/>
      <c r="O343" s="15" t="str"/>
      <c r="P343" s="15" t="str"/>
      <c r="Q343" s="15" t="str"/>
      <c r="R343" s="15" t="str"/>
      <c r="S343" s="15" t="n">
        <v>1284</v>
      </c>
      <c r="T343" s="15" t="inlineStr">
        <is>
          <t>Frontend; Backend/API; Data/Database</t>
        </is>
      </c>
      <c r="U343" s="15" t="inlineStr">
        <is>
          <t>Technology; Education/Research</t>
        </is>
      </c>
      <c r="V343" s="15" t="inlineStr">
        <is>
          <t>C:\Workspace\java\scrape_indeed\soft_dav_part_1\734.html#23573</t>
        </is>
      </c>
    </row>
    <row r="344">
      <c r="A344" s="2">
        <f>IF(COUNTIF('Sample 20'!$B$2:$B$21,B344)&gt;0,"是","")</f>
        <v/>
      </c>
      <c r="B344" s="2" t="inlineStr">
        <is>
          <t>23143</t>
        </is>
      </c>
      <c r="C344" s="15" t="inlineStr">
        <is>
          <t>Software Developer</t>
        </is>
      </c>
      <c r="D344" s="15">
        <f>IF(E344&gt;='Scoring Rules'!$B$3,"强",IF(E344&gt;='Scoring Rules'!$B$4,"中","弱"))</f>
        <v/>
      </c>
      <c r="E344" s="125">
        <f>MIN(100,H344+IF(I344&gt;=5,'Scoring Rules'!$B$16,IF(I344&gt;=3,'Scoring Rules'!$B$17,IF(I344&gt;=1,'Scoring Rules'!$B$18,'Scoring Rules'!$B$19)))+IF(L344="是",'Scoring Rules'!$B$22,0)+MIN(J344*'Scoring Rules'!$B$23,'Scoring Rules'!$B$24)+IF(M344="是",'Scoring Rules'!$B$25,0)+MIN((IF(K344="",0,LEN(K344)-LEN(SUBSTITUTE(K344,";",""))+1))*'Scoring Rules'!$B$26,'Scoring Rules'!$B$27)+IF(N344="是",'Scoring Rules'!$B$28,0)+IF(O344="是",'Scoring Rules'!$B$29,0)+IF(P344="是",'Scoring Rules'!$B$30,0)+IF(Q344="是",'Scoring Rules'!$B$31,0)+IF(R344="是",'Scoring Rules'!$B$32,0)+IF(S344&gt;=8000,'Scoring Rules'!$B$35,IF(S344&gt;=4000,'Scoring Rules'!$B$36,IF(S344&gt;=2000,'Scoring Rules'!$B$37,'Scoring Rules'!$B$38))))</f>
        <v/>
      </c>
      <c r="F344" s="15" t="inlineStr">
        <is>
          <t>Standard</t>
        </is>
      </c>
      <c r="G344" s="15" t="inlineStr">
        <is>
          <t>Master</t>
        </is>
      </c>
      <c r="H344" s="15" t="n">
        <v>16</v>
      </c>
      <c r="I344" s="15" t="n">
        <v>5</v>
      </c>
      <c r="J344" s="15" t="n">
        <v>18</v>
      </c>
      <c r="K344" s="15" t="str"/>
      <c r="L344" s="15" t="str"/>
      <c r="M344" s="15" t="str"/>
      <c r="N344" s="15" t="str"/>
      <c r="O344" s="15" t="str"/>
      <c r="P344" s="15" t="str"/>
      <c r="Q344" s="15" t="str"/>
      <c r="R344" s="15" t="inlineStr">
        <is>
          <t>是</t>
        </is>
      </c>
      <c r="S344" s="15" t="n">
        <v>12992</v>
      </c>
      <c r="T344" s="15" t="inlineStr">
        <is>
          <t>Frontend; Backend/API; Data/Database; Embedded/Systems; Testing/Automation</t>
        </is>
      </c>
      <c r="U344" s="15" t="inlineStr">
        <is>
          <t>Finance/Banking; Healthcare; Technology; Education/Research; Retail/E-commerce</t>
        </is>
      </c>
      <c r="V344" s="15" t="inlineStr">
        <is>
          <t>C:\Workspace\java\scrape_indeed\soft_dav_part_1\736.html#23575</t>
        </is>
      </c>
    </row>
    <row r="345">
      <c r="A345" s="2">
        <f>IF(COUNTIF('Sample 20'!$B$2:$B$21,B345)&gt;0,"是","")</f>
        <v/>
      </c>
      <c r="B345" s="2" t="inlineStr">
        <is>
          <t>23144</t>
        </is>
      </c>
      <c r="C345" s="15" t="inlineStr">
        <is>
          <t>Software Developer</t>
        </is>
      </c>
      <c r="D345" s="15">
        <f>IF(E345&gt;='Scoring Rules'!$B$3,"强",IF(E345&gt;='Scoring Rules'!$B$4,"中","弱"))</f>
        <v/>
      </c>
      <c r="E345" s="125">
        <f>MIN(100,H345+IF(I345&gt;=5,'Scoring Rules'!$B$16,IF(I345&gt;=3,'Scoring Rules'!$B$17,IF(I345&gt;=1,'Scoring Rules'!$B$18,'Scoring Rules'!$B$19)))+IF(L345="是",'Scoring Rules'!$B$22,0)+MIN(J345*'Scoring Rules'!$B$23,'Scoring Rules'!$B$24)+IF(M345="是",'Scoring Rules'!$B$25,0)+MIN((IF(K345="",0,LEN(K345)-LEN(SUBSTITUTE(K345,";",""))+1))*'Scoring Rules'!$B$26,'Scoring Rules'!$B$27)+IF(N345="是",'Scoring Rules'!$B$28,0)+IF(O345="是",'Scoring Rules'!$B$29,0)+IF(P345="是",'Scoring Rules'!$B$30,0)+IF(Q345="是",'Scoring Rules'!$B$31,0)+IF(R345="是",'Scoring Rules'!$B$32,0)+IF(S345&gt;=8000,'Scoring Rules'!$B$35,IF(S345&gt;=4000,'Scoring Rules'!$B$36,IF(S345&gt;=2000,'Scoring Rules'!$B$37,'Scoring Rules'!$B$38))))</f>
        <v/>
      </c>
      <c r="F345" s="15" t="inlineStr">
        <is>
          <t>Standard</t>
        </is>
      </c>
      <c r="G345" s="15" t="inlineStr">
        <is>
          <t>Unspecified</t>
        </is>
      </c>
      <c r="H345" s="15" t="n">
        <v>0</v>
      </c>
      <c r="I345" s="15" t="n">
        <v>1</v>
      </c>
      <c r="J345" s="15" t="n">
        <v>12</v>
      </c>
      <c r="K345" s="15" t="str"/>
      <c r="L345" s="15" t="str"/>
      <c r="M345" s="15" t="str"/>
      <c r="N345" s="15" t="str"/>
      <c r="O345" s="15" t="str"/>
      <c r="P345" s="15" t="str"/>
      <c r="Q345" s="15" t="str"/>
      <c r="R345" s="15" t="inlineStr">
        <is>
          <t>是</t>
        </is>
      </c>
      <c r="S345" s="15" t="n">
        <v>1887</v>
      </c>
      <c r="T345" s="15" t="inlineStr">
        <is>
          <t>Frontend; Backend/API; Data/Database; Testing/Automation</t>
        </is>
      </c>
      <c r="U345" s="15" t="inlineStr">
        <is>
          <t>Technology; Education/Research</t>
        </is>
      </c>
      <c r="V345" s="15" t="inlineStr">
        <is>
          <t>C:\Workspace\java\scrape_indeed\soft_dav_part_1\737.html#23576</t>
        </is>
      </c>
    </row>
    <row r="346">
      <c r="A346" s="2">
        <f>IF(COUNTIF('Sample 20'!$B$2:$B$21,B346)&gt;0,"是","")</f>
        <v/>
      </c>
      <c r="B346" s="2" t="inlineStr">
        <is>
          <t>23145</t>
        </is>
      </c>
      <c r="C346" s="15" t="inlineStr">
        <is>
          <t>Software Developer</t>
        </is>
      </c>
      <c r="D346" s="15">
        <f>IF(E346&gt;='Scoring Rules'!$B$3,"强",IF(E346&gt;='Scoring Rules'!$B$4,"中","弱"))</f>
        <v/>
      </c>
      <c r="E346" s="125">
        <f>MIN(100,H346+IF(I346&gt;=5,'Scoring Rules'!$B$16,IF(I346&gt;=3,'Scoring Rules'!$B$17,IF(I346&gt;=1,'Scoring Rules'!$B$18,'Scoring Rules'!$B$19)))+IF(L346="是",'Scoring Rules'!$B$22,0)+MIN(J346*'Scoring Rules'!$B$23,'Scoring Rules'!$B$24)+IF(M346="是",'Scoring Rules'!$B$25,0)+MIN((IF(K346="",0,LEN(K346)-LEN(SUBSTITUTE(K346,";",""))+1))*'Scoring Rules'!$B$26,'Scoring Rules'!$B$27)+IF(N346="是",'Scoring Rules'!$B$28,0)+IF(O346="是",'Scoring Rules'!$B$29,0)+IF(P346="是",'Scoring Rules'!$B$30,0)+IF(Q346="是",'Scoring Rules'!$B$31,0)+IF(R346="是",'Scoring Rules'!$B$32,0)+IF(S346&gt;=8000,'Scoring Rules'!$B$35,IF(S346&gt;=4000,'Scoring Rules'!$B$36,IF(S346&gt;=2000,'Scoring Rules'!$B$37,'Scoring Rules'!$B$38))))</f>
        <v/>
      </c>
      <c r="F346" s="15" t="inlineStr">
        <is>
          <t>Standard</t>
        </is>
      </c>
      <c r="G346" s="15" t="inlineStr">
        <is>
          <t>Bachelor</t>
        </is>
      </c>
      <c r="H346" s="15" t="n">
        <v>12</v>
      </c>
      <c r="I346" s="15" t="n">
        <v>1</v>
      </c>
      <c r="J346" s="15" t="n">
        <v>8</v>
      </c>
      <c r="K346" s="15" t="str"/>
      <c r="L346" s="15" t="inlineStr">
        <is>
          <t>是</t>
        </is>
      </c>
      <c r="M346" s="15" t="str"/>
      <c r="N346" s="15" t="str"/>
      <c r="O346" s="15" t="str"/>
      <c r="P346" s="15" t="str"/>
      <c r="Q346" s="15" t="inlineStr">
        <is>
          <t>是</t>
        </is>
      </c>
      <c r="R346" s="15" t="str"/>
      <c r="S346" s="15" t="n">
        <v>1712</v>
      </c>
      <c r="T346" s="15" t="inlineStr">
        <is>
          <t>Backend/API; Data/Database</t>
        </is>
      </c>
      <c r="U346" s="15" t="inlineStr">
        <is>
          <t>Technology; Education/Research</t>
        </is>
      </c>
      <c r="V346" s="15" t="inlineStr">
        <is>
          <t>C:\Workspace\java\scrape_indeed\soft_dav_part_1\738.html#23577</t>
        </is>
      </c>
    </row>
    <row r="347">
      <c r="A347" s="2">
        <f>IF(COUNTIF('Sample 20'!$B$2:$B$21,B347)&gt;0,"是","")</f>
        <v/>
      </c>
      <c r="B347" s="2" t="inlineStr">
        <is>
          <t>23150</t>
        </is>
      </c>
      <c r="C347" s="15" t="inlineStr">
        <is>
          <t>Software Developer</t>
        </is>
      </c>
      <c r="D347" s="15">
        <f>IF(E347&gt;='Scoring Rules'!$B$3,"强",IF(E347&gt;='Scoring Rules'!$B$4,"中","弱"))</f>
        <v/>
      </c>
      <c r="E347" s="125">
        <f>MIN(100,H347+IF(I347&gt;=5,'Scoring Rules'!$B$16,IF(I347&gt;=3,'Scoring Rules'!$B$17,IF(I347&gt;=1,'Scoring Rules'!$B$18,'Scoring Rules'!$B$19)))+IF(L347="是",'Scoring Rules'!$B$22,0)+MIN(J347*'Scoring Rules'!$B$23,'Scoring Rules'!$B$24)+IF(M347="是",'Scoring Rules'!$B$25,0)+MIN((IF(K347="",0,LEN(K347)-LEN(SUBSTITUTE(K347,";",""))+1))*'Scoring Rules'!$B$26,'Scoring Rules'!$B$27)+IF(N347="是",'Scoring Rules'!$B$28,0)+IF(O347="是",'Scoring Rules'!$B$29,0)+IF(P347="是",'Scoring Rules'!$B$30,0)+IF(Q347="是",'Scoring Rules'!$B$31,0)+IF(R347="是",'Scoring Rules'!$B$32,0)+IF(S347&gt;=8000,'Scoring Rules'!$B$35,IF(S347&gt;=4000,'Scoring Rules'!$B$36,IF(S347&gt;=2000,'Scoring Rules'!$B$37,'Scoring Rules'!$B$38))))</f>
        <v/>
      </c>
      <c r="F347" s="15" t="inlineStr">
        <is>
          <t>Standard</t>
        </is>
      </c>
      <c r="G347" s="15" t="inlineStr">
        <is>
          <t>Unspecified</t>
        </is>
      </c>
      <c r="H347" s="15" t="n">
        <v>2</v>
      </c>
      <c r="I347" s="15" t="n">
        <v>1</v>
      </c>
      <c r="J347" s="15" t="n">
        <v>8</v>
      </c>
      <c r="K347" s="15" t="str"/>
      <c r="L347" s="15" t="str"/>
      <c r="M347" s="15" t="str"/>
      <c r="N347" s="15" t="str"/>
      <c r="O347" s="15" t="str"/>
      <c r="P347" s="15" t="str"/>
      <c r="Q347" s="15" t="str"/>
      <c r="R347" s="15" t="inlineStr">
        <is>
          <t>是</t>
        </is>
      </c>
      <c r="S347" s="15" t="n">
        <v>1879</v>
      </c>
      <c r="T347" s="15" t="inlineStr">
        <is>
          <t>Frontend; Backend/API; Data/Database</t>
        </is>
      </c>
      <c r="U347" s="15" t="inlineStr">
        <is>
          <t>Technology; Education/Research</t>
        </is>
      </c>
      <c r="V347" s="15" t="inlineStr">
        <is>
          <t>C:\Workspace\java\scrape_indeed\soft_dav_part_1\742.html#23582</t>
        </is>
      </c>
    </row>
    <row r="348">
      <c r="A348" s="2">
        <f>IF(COUNTIF('Sample 20'!$B$2:$B$21,B348)&gt;0,"是","")</f>
        <v/>
      </c>
      <c r="B348" s="2" t="inlineStr">
        <is>
          <t>23152</t>
        </is>
      </c>
      <c r="C348" s="15" t="inlineStr">
        <is>
          <t>Software Developer</t>
        </is>
      </c>
      <c r="D348" s="15">
        <f>IF(E348&gt;='Scoring Rules'!$B$3,"强",IF(E348&gt;='Scoring Rules'!$B$4,"中","弱"))</f>
        <v/>
      </c>
      <c r="E348" s="125">
        <f>MIN(100,H348+IF(I348&gt;=5,'Scoring Rules'!$B$16,IF(I348&gt;=3,'Scoring Rules'!$B$17,IF(I348&gt;=1,'Scoring Rules'!$B$18,'Scoring Rules'!$B$19)))+IF(L348="是",'Scoring Rules'!$B$22,0)+MIN(J348*'Scoring Rules'!$B$23,'Scoring Rules'!$B$24)+IF(M348="是",'Scoring Rules'!$B$25,0)+MIN((IF(K348="",0,LEN(K348)-LEN(SUBSTITUTE(K348,";",""))+1))*'Scoring Rules'!$B$26,'Scoring Rules'!$B$27)+IF(N348="是",'Scoring Rules'!$B$28,0)+IF(O348="是",'Scoring Rules'!$B$29,0)+IF(P348="是",'Scoring Rules'!$B$30,0)+IF(Q348="是",'Scoring Rules'!$B$31,0)+IF(R348="是",'Scoring Rules'!$B$32,0)+IF(S348&gt;=8000,'Scoring Rules'!$B$35,IF(S348&gt;=4000,'Scoring Rules'!$B$36,IF(S348&gt;=2000,'Scoring Rules'!$B$37,'Scoring Rules'!$B$38))))</f>
        <v/>
      </c>
      <c r="F348" s="15" t="inlineStr">
        <is>
          <t>Standard</t>
        </is>
      </c>
      <c r="G348" s="15" t="inlineStr">
        <is>
          <t>Bachelor</t>
        </is>
      </c>
      <c r="H348" s="15" t="n">
        <v>12</v>
      </c>
      <c r="I348" s="15" t="n">
        <v>1</v>
      </c>
      <c r="J348" s="15" t="n">
        <v>11</v>
      </c>
      <c r="K348" s="15" t="str"/>
      <c r="L348" s="15" t="inlineStr">
        <is>
          <t>是</t>
        </is>
      </c>
      <c r="M348" s="15" t="str"/>
      <c r="N348" s="15" t="str"/>
      <c r="O348" s="15" t="str"/>
      <c r="P348" s="15" t="inlineStr">
        <is>
          <t>是</t>
        </is>
      </c>
      <c r="Q348" s="15" t="inlineStr">
        <is>
          <t>是</t>
        </is>
      </c>
      <c r="R348" s="15" t="inlineStr">
        <is>
          <t>是</t>
        </is>
      </c>
      <c r="S348" s="15" t="n">
        <v>2691</v>
      </c>
      <c r="T348" s="15" t="inlineStr">
        <is>
          <t>Frontend; Backend/API; Mobile; Data/Database</t>
        </is>
      </c>
      <c r="U348" s="15" t="inlineStr">
        <is>
          <t>Technology</t>
        </is>
      </c>
      <c r="V348" s="15" t="inlineStr">
        <is>
          <t>C:\Workspace\java\scrape_indeed\soft_dav_part_1\744.html#23584</t>
        </is>
      </c>
    </row>
    <row r="349">
      <c r="A349" s="2">
        <f>IF(COUNTIF('Sample 20'!$B$2:$B$21,B349)&gt;0,"是","")</f>
        <v/>
      </c>
      <c r="B349" s="2" t="inlineStr">
        <is>
          <t>23161</t>
        </is>
      </c>
      <c r="C349" s="15" t="inlineStr">
        <is>
          <t>Software Developer</t>
        </is>
      </c>
      <c r="D349" s="15">
        <f>IF(E349&gt;='Scoring Rules'!$B$3,"强",IF(E349&gt;='Scoring Rules'!$B$4,"中","弱"))</f>
        <v/>
      </c>
      <c r="E349" s="125">
        <f>MIN(100,H349+IF(I349&gt;=5,'Scoring Rules'!$B$16,IF(I349&gt;=3,'Scoring Rules'!$B$17,IF(I349&gt;=1,'Scoring Rules'!$B$18,'Scoring Rules'!$B$19)))+IF(L349="是",'Scoring Rules'!$B$22,0)+MIN(J349*'Scoring Rules'!$B$23,'Scoring Rules'!$B$24)+IF(M349="是",'Scoring Rules'!$B$25,0)+MIN((IF(K349="",0,LEN(K349)-LEN(SUBSTITUTE(K349,";",""))+1))*'Scoring Rules'!$B$26,'Scoring Rules'!$B$27)+IF(N349="是",'Scoring Rules'!$B$28,0)+IF(O349="是",'Scoring Rules'!$B$29,0)+IF(P349="是",'Scoring Rules'!$B$30,0)+IF(Q349="是",'Scoring Rules'!$B$31,0)+IF(R349="是",'Scoring Rules'!$B$32,0)+IF(S349&gt;=8000,'Scoring Rules'!$B$35,IF(S349&gt;=4000,'Scoring Rules'!$B$36,IF(S349&gt;=2000,'Scoring Rules'!$B$37,'Scoring Rules'!$B$38))))</f>
        <v/>
      </c>
      <c r="F349" s="15" t="inlineStr">
        <is>
          <t>Standard</t>
        </is>
      </c>
      <c r="G349" s="15" t="inlineStr">
        <is>
          <t>Bachelor</t>
        </is>
      </c>
      <c r="H349" s="15" t="n">
        <v>12</v>
      </c>
      <c r="I349" s="15" t="n">
        <v>3</v>
      </c>
      <c r="J349" s="15" t="n">
        <v>4</v>
      </c>
      <c r="K349" s="15" t="str"/>
      <c r="L349" s="15" t="str"/>
      <c r="M349" s="15" t="str"/>
      <c r="N349" s="15" t="str"/>
      <c r="O349" s="15" t="str"/>
      <c r="P349" s="15" t="str"/>
      <c r="Q349" s="15" t="str"/>
      <c r="R349" s="15" t="inlineStr">
        <is>
          <t>是</t>
        </is>
      </c>
      <c r="S349" s="15" t="n">
        <v>2282</v>
      </c>
      <c r="T349" s="15" t="inlineStr">
        <is>
          <t>Backend/API; Data/Database</t>
        </is>
      </c>
      <c r="U349" s="15" t="inlineStr">
        <is>
          <t>Finance/Banking; Healthcare; Technology; Education/Research; Retail/E-commerce</t>
        </is>
      </c>
      <c r="V349" s="15" t="inlineStr">
        <is>
          <t>C:\Workspace\java\scrape_indeed\soft_dav_part_1\752.html#23593</t>
        </is>
      </c>
    </row>
    <row r="350">
      <c r="A350" s="2">
        <f>IF(COUNTIF('Sample 20'!$B$2:$B$21,B350)&gt;0,"是","")</f>
        <v/>
      </c>
      <c r="B350" s="2" t="inlineStr">
        <is>
          <t>23163</t>
        </is>
      </c>
      <c r="C350" s="15" t="inlineStr">
        <is>
          <t>SOFTWARE DEVELOPER</t>
        </is>
      </c>
      <c r="D350" s="15">
        <f>IF(E350&gt;='Scoring Rules'!$B$3,"强",IF(E350&gt;='Scoring Rules'!$B$4,"中","弱"))</f>
        <v/>
      </c>
      <c r="E350" s="125">
        <f>MIN(100,H350+IF(I350&gt;=5,'Scoring Rules'!$B$16,IF(I350&gt;=3,'Scoring Rules'!$B$17,IF(I350&gt;=1,'Scoring Rules'!$B$18,'Scoring Rules'!$B$19)))+IF(L350="是",'Scoring Rules'!$B$22,0)+MIN(J350*'Scoring Rules'!$B$23,'Scoring Rules'!$B$24)+IF(M350="是",'Scoring Rules'!$B$25,0)+MIN((IF(K350="",0,LEN(K350)-LEN(SUBSTITUTE(K350,";",""))+1))*'Scoring Rules'!$B$26,'Scoring Rules'!$B$27)+IF(N350="是",'Scoring Rules'!$B$28,0)+IF(O350="是",'Scoring Rules'!$B$29,0)+IF(P350="是",'Scoring Rules'!$B$30,0)+IF(Q350="是",'Scoring Rules'!$B$31,0)+IF(R350="是",'Scoring Rules'!$B$32,0)+IF(S350&gt;=8000,'Scoring Rules'!$B$35,IF(S350&gt;=4000,'Scoring Rules'!$B$36,IF(S350&gt;=2000,'Scoring Rules'!$B$37,'Scoring Rules'!$B$38))))</f>
        <v/>
      </c>
      <c r="F350" s="15" t="inlineStr">
        <is>
          <t>Standard</t>
        </is>
      </c>
      <c r="G350" s="15" t="inlineStr">
        <is>
          <t>Unspecified</t>
        </is>
      </c>
      <c r="H350" s="15" t="n">
        <v>2</v>
      </c>
      <c r="I350" s="15" t="n">
        <v>3</v>
      </c>
      <c r="J350" s="15" t="n">
        <v>20</v>
      </c>
      <c r="K350" s="15" t="str"/>
      <c r="L350" s="15" t="inlineStr">
        <is>
          <t>是</t>
        </is>
      </c>
      <c r="M350" s="15" t="str"/>
      <c r="N350" s="15" t="str"/>
      <c r="O350" s="15" t="str"/>
      <c r="P350" s="15" t="str"/>
      <c r="Q350" s="15" t="inlineStr">
        <is>
          <t>是</t>
        </is>
      </c>
      <c r="R350" s="15" t="inlineStr">
        <is>
          <t>是</t>
        </is>
      </c>
      <c r="S350" s="15" t="n">
        <v>6794</v>
      </c>
      <c r="T350" s="15" t="inlineStr">
        <is>
          <t>Frontend; Backend/API; Data/Database; Cloud/DevOps; Embedded/Systems; Testing/Automation</t>
        </is>
      </c>
      <c r="U350" s="15" t="inlineStr">
        <is>
          <t>Finance/Banking; Healthcare; Technology; Education/Research</t>
        </is>
      </c>
      <c r="V350" s="15" t="inlineStr">
        <is>
          <t>C:\Workspace\java\scrape_indeed\soft_dav_part_1\754.html#23595</t>
        </is>
      </c>
    </row>
    <row r="351">
      <c r="A351" s="2">
        <f>IF(COUNTIF('Sample 20'!$B$2:$B$21,B351)&gt;0,"是","")</f>
        <v/>
      </c>
      <c r="B351" s="2" t="inlineStr">
        <is>
          <t>23166</t>
        </is>
      </c>
      <c r="C351" s="15" t="inlineStr">
        <is>
          <t>Software Developer</t>
        </is>
      </c>
      <c r="D351" s="15">
        <f>IF(E351&gt;='Scoring Rules'!$B$3,"强",IF(E351&gt;='Scoring Rules'!$B$4,"中","弱"))</f>
        <v/>
      </c>
      <c r="E351" s="125">
        <f>MIN(100,H351+IF(I351&gt;=5,'Scoring Rules'!$B$16,IF(I351&gt;=3,'Scoring Rules'!$B$17,IF(I351&gt;=1,'Scoring Rules'!$B$18,'Scoring Rules'!$B$19)))+IF(L351="是",'Scoring Rules'!$B$22,0)+MIN(J351*'Scoring Rules'!$B$23,'Scoring Rules'!$B$24)+IF(M351="是",'Scoring Rules'!$B$25,0)+MIN((IF(K351="",0,LEN(K351)-LEN(SUBSTITUTE(K351,";",""))+1))*'Scoring Rules'!$B$26,'Scoring Rules'!$B$27)+IF(N351="是",'Scoring Rules'!$B$28,0)+IF(O351="是",'Scoring Rules'!$B$29,0)+IF(P351="是",'Scoring Rules'!$B$30,0)+IF(Q351="是",'Scoring Rules'!$B$31,0)+IF(R351="是",'Scoring Rules'!$B$32,0)+IF(S351&gt;=8000,'Scoring Rules'!$B$35,IF(S351&gt;=4000,'Scoring Rules'!$B$36,IF(S351&gt;=2000,'Scoring Rules'!$B$37,'Scoring Rules'!$B$38))))</f>
        <v/>
      </c>
      <c r="F351" s="15" t="inlineStr">
        <is>
          <t>Standard</t>
        </is>
      </c>
      <c r="G351" s="15" t="inlineStr">
        <is>
          <t>Unspecified</t>
        </is>
      </c>
      <c r="H351" s="15" t="n">
        <v>0</v>
      </c>
      <c r="I351" s="15" t="n">
        <v>2</v>
      </c>
      <c r="J351" s="15" t="n">
        <v>11</v>
      </c>
      <c r="K351" s="15" t="str"/>
      <c r="L351" s="15" t="str"/>
      <c r="M351" s="15" t="str"/>
      <c r="N351" s="15" t="str"/>
      <c r="O351" s="15" t="str"/>
      <c r="P351" s="15" t="str"/>
      <c r="Q351" s="15" t="str"/>
      <c r="R351" s="15" t="inlineStr">
        <is>
          <t>是</t>
        </is>
      </c>
      <c r="S351" s="15" t="n">
        <v>1523</v>
      </c>
      <c r="T351" s="15" t="inlineStr">
        <is>
          <t>Frontend; Backend/API; Data/Database; Cloud/DevOps</t>
        </is>
      </c>
      <c r="U351" s="15" t="inlineStr">
        <is>
          <t>Technology</t>
        </is>
      </c>
      <c r="V351" s="15" t="inlineStr">
        <is>
          <t>C:\Workspace\java\scrape_indeed\soft_dav_part_1\757.html#23598</t>
        </is>
      </c>
    </row>
    <row r="352">
      <c r="A352" s="2">
        <f>IF(COUNTIF('Sample 20'!$B$2:$B$21,B352)&gt;0,"是","")</f>
        <v/>
      </c>
      <c r="B352" s="2" t="inlineStr">
        <is>
          <t>23170</t>
        </is>
      </c>
      <c r="C352" s="15" t="inlineStr">
        <is>
          <t>Software Developer</t>
        </is>
      </c>
      <c r="D352" s="15">
        <f>IF(E352&gt;='Scoring Rules'!$B$3,"强",IF(E352&gt;='Scoring Rules'!$B$4,"中","弱"))</f>
        <v/>
      </c>
      <c r="E352" s="125">
        <f>MIN(100,H352+IF(I352&gt;=5,'Scoring Rules'!$B$16,IF(I352&gt;=3,'Scoring Rules'!$B$17,IF(I352&gt;=1,'Scoring Rules'!$B$18,'Scoring Rules'!$B$19)))+IF(L352="是",'Scoring Rules'!$B$22,0)+MIN(J352*'Scoring Rules'!$B$23,'Scoring Rules'!$B$24)+IF(M352="是",'Scoring Rules'!$B$25,0)+MIN((IF(K352="",0,LEN(K352)-LEN(SUBSTITUTE(K352,";",""))+1))*'Scoring Rules'!$B$26,'Scoring Rules'!$B$27)+IF(N352="是",'Scoring Rules'!$B$28,0)+IF(O352="是",'Scoring Rules'!$B$29,0)+IF(P352="是",'Scoring Rules'!$B$30,0)+IF(Q352="是",'Scoring Rules'!$B$31,0)+IF(R352="是",'Scoring Rules'!$B$32,0)+IF(S352&gt;=8000,'Scoring Rules'!$B$35,IF(S352&gt;=4000,'Scoring Rules'!$B$36,IF(S352&gt;=2000,'Scoring Rules'!$B$37,'Scoring Rules'!$B$38))))</f>
        <v/>
      </c>
      <c r="F352" s="15" t="inlineStr">
        <is>
          <t>Standard</t>
        </is>
      </c>
      <c r="G352" s="15" t="inlineStr">
        <is>
          <t>Master</t>
        </is>
      </c>
      <c r="H352" s="15" t="n">
        <v>16</v>
      </c>
      <c r="I352" s="15" t="n">
        <v>1</v>
      </c>
      <c r="J352" s="15" t="n">
        <v>12</v>
      </c>
      <c r="K352" s="15" t="str"/>
      <c r="L352" s="15" t="inlineStr">
        <is>
          <t>是</t>
        </is>
      </c>
      <c r="M352" s="15" t="inlineStr">
        <is>
          <t>是</t>
        </is>
      </c>
      <c r="N352" s="15" t="str"/>
      <c r="O352" s="15" t="str"/>
      <c r="P352" s="15" t="str"/>
      <c r="Q352" s="15" t="str"/>
      <c r="R352" s="15" t="str"/>
      <c r="S352" s="15" t="n">
        <v>1888</v>
      </c>
      <c r="T352" s="15" t="inlineStr">
        <is>
          <t>Frontend; Backend/API; Data/Database</t>
        </is>
      </c>
      <c r="U352" s="15" t="inlineStr">
        <is>
          <t>Technology; Education/Research</t>
        </is>
      </c>
      <c r="V352" s="15" t="inlineStr">
        <is>
          <t>C:\Workspace\java\scrape_indeed\soft_dav_part_1\760.html#23602</t>
        </is>
      </c>
    </row>
    <row r="353">
      <c r="A353" s="2">
        <f>IF(COUNTIF('Sample 20'!$B$2:$B$21,B353)&gt;0,"是","")</f>
        <v/>
      </c>
      <c r="B353" s="2" t="inlineStr">
        <is>
          <t>23173</t>
        </is>
      </c>
      <c r="C353" s="15" t="inlineStr">
        <is>
          <t>Software Developer</t>
        </is>
      </c>
      <c r="D353" s="15">
        <f>IF(E353&gt;='Scoring Rules'!$B$3,"强",IF(E353&gt;='Scoring Rules'!$B$4,"中","弱"))</f>
        <v/>
      </c>
      <c r="E353" s="125">
        <f>MIN(100,H353+IF(I353&gt;=5,'Scoring Rules'!$B$16,IF(I353&gt;=3,'Scoring Rules'!$B$17,IF(I353&gt;=1,'Scoring Rules'!$B$18,'Scoring Rules'!$B$19)))+IF(L353="是",'Scoring Rules'!$B$22,0)+MIN(J353*'Scoring Rules'!$B$23,'Scoring Rules'!$B$24)+IF(M353="是",'Scoring Rules'!$B$25,0)+MIN((IF(K353="",0,LEN(K353)-LEN(SUBSTITUTE(K353,";",""))+1))*'Scoring Rules'!$B$26,'Scoring Rules'!$B$27)+IF(N353="是",'Scoring Rules'!$B$28,0)+IF(O353="是",'Scoring Rules'!$B$29,0)+IF(P353="是",'Scoring Rules'!$B$30,0)+IF(Q353="是",'Scoring Rules'!$B$31,0)+IF(R353="是",'Scoring Rules'!$B$32,0)+IF(S353&gt;=8000,'Scoring Rules'!$B$35,IF(S353&gt;=4000,'Scoring Rules'!$B$36,IF(S353&gt;=2000,'Scoring Rules'!$B$37,'Scoring Rules'!$B$38))))</f>
        <v/>
      </c>
      <c r="F353" s="15" t="inlineStr">
        <is>
          <t>Standard</t>
        </is>
      </c>
      <c r="G353" s="15" t="inlineStr">
        <is>
          <t>Bachelor</t>
        </is>
      </c>
      <c r="H353" s="15" t="n">
        <v>12</v>
      </c>
      <c r="I353" s="15" t="n">
        <v>3</v>
      </c>
      <c r="J353" s="15" t="n">
        <v>20</v>
      </c>
      <c r="K353" s="15" t="str"/>
      <c r="L353" s="15" t="inlineStr">
        <is>
          <t>是</t>
        </is>
      </c>
      <c r="M353" s="15" t="str"/>
      <c r="N353" s="15" t="str"/>
      <c r="O353" s="15" t="inlineStr">
        <is>
          <t>是</t>
        </is>
      </c>
      <c r="P353" s="15" t="str"/>
      <c r="Q353" s="15" t="str"/>
      <c r="R353" s="15" t="inlineStr">
        <is>
          <t>是</t>
        </is>
      </c>
      <c r="S353" s="15" t="n">
        <v>4707</v>
      </c>
      <c r="T353" s="15" t="inlineStr">
        <is>
          <t>Frontend; Backend/API; Data/Database; Cloud/DevOps; Testing/Automation</t>
        </is>
      </c>
      <c r="U353" s="15" t="inlineStr">
        <is>
          <t>Technology; Education/Research</t>
        </is>
      </c>
      <c r="V353" s="15" t="inlineStr">
        <is>
          <t>C:\Workspace\java\scrape_indeed\soft_dav_part_1\763.html#23605</t>
        </is>
      </c>
    </row>
    <row r="354">
      <c r="A354" s="2">
        <f>IF(COUNTIF('Sample 20'!$B$2:$B$21,B354)&gt;0,"是","")</f>
        <v/>
      </c>
      <c r="B354" s="2" t="inlineStr">
        <is>
          <t>23174</t>
        </is>
      </c>
      <c r="C354" s="15" t="inlineStr">
        <is>
          <t>Software Developer</t>
        </is>
      </c>
      <c r="D354" s="15">
        <f>IF(E354&gt;='Scoring Rules'!$B$3,"强",IF(E354&gt;='Scoring Rules'!$B$4,"中","弱"))</f>
        <v/>
      </c>
      <c r="E354" s="125">
        <f>MIN(100,H354+IF(I354&gt;=5,'Scoring Rules'!$B$16,IF(I354&gt;=3,'Scoring Rules'!$B$17,IF(I354&gt;=1,'Scoring Rules'!$B$18,'Scoring Rules'!$B$19)))+IF(L354="是",'Scoring Rules'!$B$22,0)+MIN(J354*'Scoring Rules'!$B$23,'Scoring Rules'!$B$24)+IF(M354="是",'Scoring Rules'!$B$25,0)+MIN((IF(K354="",0,LEN(K354)-LEN(SUBSTITUTE(K354,";",""))+1))*'Scoring Rules'!$B$26,'Scoring Rules'!$B$27)+IF(N354="是",'Scoring Rules'!$B$28,0)+IF(O354="是",'Scoring Rules'!$B$29,0)+IF(P354="是",'Scoring Rules'!$B$30,0)+IF(Q354="是",'Scoring Rules'!$B$31,0)+IF(R354="是",'Scoring Rules'!$B$32,0)+IF(S354&gt;=8000,'Scoring Rules'!$B$35,IF(S354&gt;=4000,'Scoring Rules'!$B$36,IF(S354&gt;=2000,'Scoring Rules'!$B$37,'Scoring Rules'!$B$38))))</f>
        <v/>
      </c>
      <c r="F354" s="15" t="inlineStr">
        <is>
          <t>Standard</t>
        </is>
      </c>
      <c r="G354" s="15" t="inlineStr">
        <is>
          <t>Master</t>
        </is>
      </c>
      <c r="H354" s="15" t="n">
        <v>16</v>
      </c>
      <c r="I354" s="15" t="n">
        <v>4</v>
      </c>
      <c r="J354" s="15" t="n">
        <v>12</v>
      </c>
      <c r="K354" s="15" t="str"/>
      <c r="L354" s="15" t="str"/>
      <c r="M354" s="15" t="str"/>
      <c r="N354" s="15" t="str"/>
      <c r="O354" s="15" t="str"/>
      <c r="P354" s="15" t="str"/>
      <c r="Q354" s="15" t="inlineStr">
        <is>
          <t>是</t>
        </is>
      </c>
      <c r="R354" s="15" t="inlineStr">
        <is>
          <t>是</t>
        </is>
      </c>
      <c r="S354" s="15" t="n">
        <v>6929</v>
      </c>
      <c r="T354" s="15" t="inlineStr">
        <is>
          <t>Frontend; Backend/API; Mobile; Data/Database</t>
        </is>
      </c>
      <c r="U354" s="15" t="inlineStr">
        <is>
          <t>Finance/Banking; Technology; Education/Research</t>
        </is>
      </c>
      <c r="V354" s="15" t="inlineStr">
        <is>
          <t>C:\Workspace\java\scrape_indeed\soft_dav_part_1\764.html#23606</t>
        </is>
      </c>
    </row>
    <row r="355">
      <c r="A355" s="2">
        <f>IF(COUNTIF('Sample 20'!$B$2:$B$21,B355)&gt;0,"是","")</f>
        <v/>
      </c>
      <c r="B355" s="2" t="inlineStr">
        <is>
          <t>23176</t>
        </is>
      </c>
      <c r="C355" s="15" t="inlineStr">
        <is>
          <t>Software Developer</t>
        </is>
      </c>
      <c r="D355" s="15">
        <f>IF(E355&gt;='Scoring Rules'!$B$3,"强",IF(E355&gt;='Scoring Rules'!$B$4,"中","弱"))</f>
        <v/>
      </c>
      <c r="E355" s="125">
        <f>MIN(100,H355+IF(I355&gt;=5,'Scoring Rules'!$B$16,IF(I355&gt;=3,'Scoring Rules'!$B$17,IF(I355&gt;=1,'Scoring Rules'!$B$18,'Scoring Rules'!$B$19)))+IF(L355="是",'Scoring Rules'!$B$22,0)+MIN(J355*'Scoring Rules'!$B$23,'Scoring Rules'!$B$24)+IF(M355="是",'Scoring Rules'!$B$25,0)+MIN((IF(K355="",0,LEN(K355)-LEN(SUBSTITUTE(K355,";",""))+1))*'Scoring Rules'!$B$26,'Scoring Rules'!$B$27)+IF(N355="是",'Scoring Rules'!$B$28,0)+IF(O355="是",'Scoring Rules'!$B$29,0)+IF(P355="是",'Scoring Rules'!$B$30,0)+IF(Q355="是",'Scoring Rules'!$B$31,0)+IF(R355="是",'Scoring Rules'!$B$32,0)+IF(S355&gt;=8000,'Scoring Rules'!$B$35,IF(S355&gt;=4000,'Scoring Rules'!$B$36,IF(S355&gt;=2000,'Scoring Rules'!$B$37,'Scoring Rules'!$B$38))))</f>
        <v/>
      </c>
      <c r="F355" s="15" t="inlineStr">
        <is>
          <t>Standard</t>
        </is>
      </c>
      <c r="G355" s="15" t="inlineStr">
        <is>
          <t>Unspecified</t>
        </is>
      </c>
      <c r="H355" s="15" t="n">
        <v>2</v>
      </c>
      <c r="I355" s="15" t="n">
        <v>3</v>
      </c>
      <c r="J355" s="15" t="n">
        <v>7</v>
      </c>
      <c r="K355" s="15" t="str"/>
      <c r="L355" s="15" t="inlineStr">
        <is>
          <t>是</t>
        </is>
      </c>
      <c r="M355" s="15" t="str"/>
      <c r="N355" s="15" t="str"/>
      <c r="O355" s="15" t="str"/>
      <c r="P355" s="15" t="str"/>
      <c r="Q355" s="15" t="str"/>
      <c r="R355" s="15" t="inlineStr">
        <is>
          <t>是</t>
        </is>
      </c>
      <c r="S355" s="15" t="n">
        <v>2883</v>
      </c>
      <c r="T355" s="15" t="inlineStr">
        <is>
          <t>Frontend; Backend/API; Embedded/Systems</t>
        </is>
      </c>
      <c r="U355" s="15" t="inlineStr">
        <is>
          <t>Technology; Education/Research</t>
        </is>
      </c>
      <c r="V355" s="15" t="inlineStr">
        <is>
          <t>C:\Workspace\java\scrape_indeed\soft_dav_part_1\766.html#23608</t>
        </is>
      </c>
    </row>
    <row r="356">
      <c r="A356" s="2">
        <f>IF(COUNTIF('Sample 20'!$B$2:$B$21,B356)&gt;0,"是","")</f>
        <v/>
      </c>
      <c r="B356" s="2" t="inlineStr">
        <is>
          <t>23179</t>
        </is>
      </c>
      <c r="C356" s="15" t="inlineStr">
        <is>
          <t>Software Developer</t>
        </is>
      </c>
      <c r="D356" s="15">
        <f>IF(E356&gt;='Scoring Rules'!$B$3,"强",IF(E356&gt;='Scoring Rules'!$B$4,"中","弱"))</f>
        <v/>
      </c>
      <c r="E356" s="125">
        <f>MIN(100,H356+IF(I356&gt;=5,'Scoring Rules'!$B$16,IF(I356&gt;=3,'Scoring Rules'!$B$17,IF(I356&gt;=1,'Scoring Rules'!$B$18,'Scoring Rules'!$B$19)))+IF(L356="是",'Scoring Rules'!$B$22,0)+MIN(J356*'Scoring Rules'!$B$23,'Scoring Rules'!$B$24)+IF(M356="是",'Scoring Rules'!$B$25,0)+MIN((IF(K356="",0,LEN(K356)-LEN(SUBSTITUTE(K356,";",""))+1))*'Scoring Rules'!$B$26,'Scoring Rules'!$B$27)+IF(N356="是",'Scoring Rules'!$B$28,0)+IF(O356="是",'Scoring Rules'!$B$29,0)+IF(P356="是",'Scoring Rules'!$B$30,0)+IF(Q356="是",'Scoring Rules'!$B$31,0)+IF(R356="是",'Scoring Rules'!$B$32,0)+IF(S356&gt;=8000,'Scoring Rules'!$B$35,IF(S356&gt;=4000,'Scoring Rules'!$B$36,IF(S356&gt;=2000,'Scoring Rules'!$B$37,'Scoring Rules'!$B$38))))</f>
        <v/>
      </c>
      <c r="F356" s="15" t="inlineStr">
        <is>
          <t>Standard</t>
        </is>
      </c>
      <c r="G356" s="15" t="inlineStr">
        <is>
          <t>Unspecified</t>
        </is>
      </c>
      <c r="H356" s="15" t="n">
        <v>2</v>
      </c>
      <c r="I356" s="15" t="n">
        <v>1</v>
      </c>
      <c r="J356" s="15" t="n">
        <v>6</v>
      </c>
      <c r="K356" s="15" t="str"/>
      <c r="L356" s="15" t="str"/>
      <c r="M356" s="15" t="str"/>
      <c r="N356" s="15" t="str"/>
      <c r="O356" s="15" t="str"/>
      <c r="P356" s="15" t="str"/>
      <c r="Q356" s="15" t="inlineStr">
        <is>
          <t>是</t>
        </is>
      </c>
      <c r="R356" s="15" t="inlineStr">
        <is>
          <t>是</t>
        </is>
      </c>
      <c r="S356" s="15" t="n">
        <v>4552</v>
      </c>
      <c r="T356" s="15" t="inlineStr">
        <is>
          <t>Frontend; Backend/API; Data/Database; Testing/Automation</t>
        </is>
      </c>
      <c r="U356" s="15" t="inlineStr">
        <is>
          <t>Technology; Education/Research; Manufacturing/Automotive</t>
        </is>
      </c>
      <c r="V356" s="15" t="inlineStr">
        <is>
          <t>C:\Workspace\java\scrape_indeed\soft_dav_part_1\769.html#23611</t>
        </is>
      </c>
    </row>
    <row r="357">
      <c r="A357" s="2">
        <f>IF(COUNTIF('Sample 20'!$B$2:$B$21,B357)&gt;0,"是","")</f>
        <v/>
      </c>
      <c r="B357" s="2" t="inlineStr">
        <is>
          <t>23183</t>
        </is>
      </c>
      <c r="C357" s="15" t="inlineStr">
        <is>
          <t>SOFTWARE DEVELOPER</t>
        </is>
      </c>
      <c r="D357" s="15">
        <f>IF(E357&gt;='Scoring Rules'!$B$3,"强",IF(E357&gt;='Scoring Rules'!$B$4,"中","弱"))</f>
        <v/>
      </c>
      <c r="E357" s="125">
        <f>MIN(100,H357+IF(I357&gt;=5,'Scoring Rules'!$B$16,IF(I357&gt;=3,'Scoring Rules'!$B$17,IF(I357&gt;=1,'Scoring Rules'!$B$18,'Scoring Rules'!$B$19)))+IF(L357="是",'Scoring Rules'!$B$22,0)+MIN(J357*'Scoring Rules'!$B$23,'Scoring Rules'!$B$24)+IF(M357="是",'Scoring Rules'!$B$25,0)+MIN((IF(K357="",0,LEN(K357)-LEN(SUBSTITUTE(K357,";",""))+1))*'Scoring Rules'!$B$26,'Scoring Rules'!$B$27)+IF(N357="是",'Scoring Rules'!$B$28,0)+IF(O357="是",'Scoring Rules'!$B$29,0)+IF(P357="是",'Scoring Rules'!$B$30,0)+IF(Q357="是",'Scoring Rules'!$B$31,0)+IF(R357="是",'Scoring Rules'!$B$32,0)+IF(S357&gt;=8000,'Scoring Rules'!$B$35,IF(S357&gt;=4000,'Scoring Rules'!$B$36,IF(S357&gt;=2000,'Scoring Rules'!$B$37,'Scoring Rules'!$B$38))))</f>
        <v/>
      </c>
      <c r="F357" s="15" t="inlineStr">
        <is>
          <t>Standard</t>
        </is>
      </c>
      <c r="G357" s="15" t="inlineStr">
        <is>
          <t>Unspecified</t>
        </is>
      </c>
      <c r="H357" s="15" t="n">
        <v>2</v>
      </c>
      <c r="I357" s="15" t="n">
        <v>3</v>
      </c>
      <c r="J357" s="15" t="n">
        <v>14</v>
      </c>
      <c r="K357" s="15" t="str"/>
      <c r="L357" s="15" t="inlineStr">
        <is>
          <t>是</t>
        </is>
      </c>
      <c r="M357" s="15" t="str"/>
      <c r="N357" s="15" t="str"/>
      <c r="O357" s="15" t="str"/>
      <c r="P357" s="15" t="inlineStr">
        <is>
          <t>是</t>
        </is>
      </c>
      <c r="Q357" s="15" t="str"/>
      <c r="R357" s="15" t="inlineStr">
        <is>
          <t>是</t>
        </is>
      </c>
      <c r="S357" s="15" t="n">
        <v>1751</v>
      </c>
      <c r="T357" s="15" t="inlineStr">
        <is>
          <t>Frontend; Backend/API; Data/Database</t>
        </is>
      </c>
      <c r="U357" s="15" t="inlineStr">
        <is>
          <t>Finance/Banking; Government/Defense; Technology; Education/Research</t>
        </is>
      </c>
      <c r="V357" s="15" t="inlineStr">
        <is>
          <t>C:\Workspace\java\scrape_indeed\soft_dav_part_1\772.html#23615</t>
        </is>
      </c>
    </row>
    <row r="358">
      <c r="A358" s="2">
        <f>IF(COUNTIF('Sample 20'!$B$2:$B$21,B358)&gt;0,"是","")</f>
        <v/>
      </c>
      <c r="B358" s="2" t="inlineStr">
        <is>
          <t>23185</t>
        </is>
      </c>
      <c r="C358" s="15" t="inlineStr">
        <is>
          <t>Software Developer</t>
        </is>
      </c>
      <c r="D358" s="15">
        <f>IF(E358&gt;='Scoring Rules'!$B$3,"强",IF(E358&gt;='Scoring Rules'!$B$4,"中","弱"))</f>
        <v/>
      </c>
      <c r="E358" s="125">
        <f>MIN(100,H358+IF(I358&gt;=5,'Scoring Rules'!$B$16,IF(I358&gt;=3,'Scoring Rules'!$B$17,IF(I358&gt;=1,'Scoring Rules'!$B$18,'Scoring Rules'!$B$19)))+IF(L358="是",'Scoring Rules'!$B$22,0)+MIN(J358*'Scoring Rules'!$B$23,'Scoring Rules'!$B$24)+IF(M358="是",'Scoring Rules'!$B$25,0)+MIN((IF(K358="",0,LEN(K358)-LEN(SUBSTITUTE(K358,";",""))+1))*'Scoring Rules'!$B$26,'Scoring Rules'!$B$27)+IF(N358="是",'Scoring Rules'!$B$28,0)+IF(O358="是",'Scoring Rules'!$B$29,0)+IF(P358="是",'Scoring Rules'!$B$30,0)+IF(Q358="是",'Scoring Rules'!$B$31,0)+IF(R358="是",'Scoring Rules'!$B$32,0)+IF(S358&gt;=8000,'Scoring Rules'!$B$35,IF(S358&gt;=4000,'Scoring Rules'!$B$36,IF(S358&gt;=2000,'Scoring Rules'!$B$37,'Scoring Rules'!$B$38))))</f>
        <v/>
      </c>
      <c r="F358" s="15" t="inlineStr">
        <is>
          <t>Standard</t>
        </is>
      </c>
      <c r="G358" s="15" t="inlineStr">
        <is>
          <t>Master</t>
        </is>
      </c>
      <c r="H358" s="15" t="n">
        <v>16</v>
      </c>
      <c r="I358" s="15" t="n">
        <v>4</v>
      </c>
      <c r="J358" s="15" t="n">
        <v>18</v>
      </c>
      <c r="K358" s="15" t="str"/>
      <c r="L358" s="15" t="inlineStr">
        <is>
          <t>是</t>
        </is>
      </c>
      <c r="M358" s="15" t="str"/>
      <c r="N358" s="15" t="str"/>
      <c r="O358" s="15" t="str"/>
      <c r="P358" s="15" t="inlineStr">
        <is>
          <t>是</t>
        </is>
      </c>
      <c r="Q358" s="15" t="str"/>
      <c r="R358" s="15" t="inlineStr">
        <is>
          <t>是</t>
        </is>
      </c>
      <c r="S358" s="15" t="n">
        <v>5232</v>
      </c>
      <c r="T358" s="15" t="inlineStr">
        <is>
          <t>Frontend; Backend/API; Data/Database; Cloud/DevOps; Testing/Automation</t>
        </is>
      </c>
      <c r="U358" s="15" t="inlineStr">
        <is>
          <t>Finance/Banking; Technology; Consulting; Education/Research</t>
        </is>
      </c>
      <c r="V358" s="15" t="inlineStr">
        <is>
          <t>C:\Workspace\java\scrape_indeed\soft_dav_part_1\774.html#23617</t>
        </is>
      </c>
    </row>
    <row r="359">
      <c r="A359" s="2">
        <f>IF(COUNTIF('Sample 20'!$B$2:$B$21,B359)&gt;0,"是","")</f>
        <v/>
      </c>
      <c r="B359" s="2" t="inlineStr">
        <is>
          <t>23196</t>
        </is>
      </c>
      <c r="C359" s="15" t="inlineStr">
        <is>
          <t>Software Developer</t>
        </is>
      </c>
      <c r="D359" s="15">
        <f>IF(E359&gt;='Scoring Rules'!$B$3,"强",IF(E359&gt;='Scoring Rules'!$B$4,"中","弱"))</f>
        <v/>
      </c>
      <c r="E359" s="125">
        <f>MIN(100,H359+IF(I359&gt;=5,'Scoring Rules'!$B$16,IF(I359&gt;=3,'Scoring Rules'!$B$17,IF(I359&gt;=1,'Scoring Rules'!$B$18,'Scoring Rules'!$B$19)))+IF(L359="是",'Scoring Rules'!$B$22,0)+MIN(J359*'Scoring Rules'!$B$23,'Scoring Rules'!$B$24)+IF(M359="是",'Scoring Rules'!$B$25,0)+MIN((IF(K359="",0,LEN(K359)-LEN(SUBSTITUTE(K359,";",""))+1))*'Scoring Rules'!$B$26,'Scoring Rules'!$B$27)+IF(N359="是",'Scoring Rules'!$B$28,0)+IF(O359="是",'Scoring Rules'!$B$29,0)+IF(P359="是",'Scoring Rules'!$B$30,0)+IF(Q359="是",'Scoring Rules'!$B$31,0)+IF(R359="是",'Scoring Rules'!$B$32,0)+IF(S359&gt;=8000,'Scoring Rules'!$B$35,IF(S359&gt;=4000,'Scoring Rules'!$B$36,IF(S359&gt;=2000,'Scoring Rules'!$B$37,'Scoring Rules'!$B$38))))</f>
        <v/>
      </c>
      <c r="F359" s="15" t="inlineStr">
        <is>
          <t>Standard</t>
        </is>
      </c>
      <c r="G359" s="15" t="inlineStr">
        <is>
          <t>Bachelor</t>
        </is>
      </c>
      <c r="H359" s="15" t="n">
        <v>12</v>
      </c>
      <c r="I359" s="15" t="n">
        <v>3</v>
      </c>
      <c r="J359" s="15" t="n">
        <v>15</v>
      </c>
      <c r="K359" s="15" t="str"/>
      <c r="L359" s="15" t="inlineStr">
        <is>
          <t>是</t>
        </is>
      </c>
      <c r="M359" s="15" t="str"/>
      <c r="N359" s="15" t="str"/>
      <c r="O359" s="15" t="str"/>
      <c r="P359" s="15" t="inlineStr">
        <is>
          <t>是</t>
        </is>
      </c>
      <c r="Q359" s="15" t="inlineStr">
        <is>
          <t>是</t>
        </is>
      </c>
      <c r="R359" s="15" t="inlineStr">
        <is>
          <t>是</t>
        </is>
      </c>
      <c r="S359" s="15" t="n">
        <v>2648</v>
      </c>
      <c r="T359" s="15" t="inlineStr">
        <is>
          <t>Frontend; Backend/API; Data/Database; Embedded/Systems</t>
        </is>
      </c>
      <c r="U359" s="15" t="inlineStr">
        <is>
          <t>Technology; Education/Research; Retail/E-commerce</t>
        </is>
      </c>
      <c r="V359" s="15" t="inlineStr">
        <is>
          <t>C:\Workspace\java\scrape_indeed\soft_dav_part_1\784.html#23628</t>
        </is>
      </c>
    </row>
    <row r="360">
      <c r="A360" s="2">
        <f>IF(COUNTIF('Sample 20'!$B$2:$B$21,B360)&gt;0,"是","")</f>
        <v/>
      </c>
      <c r="B360" s="2" t="inlineStr">
        <is>
          <t>23204</t>
        </is>
      </c>
      <c r="C360" s="15" t="inlineStr">
        <is>
          <t>Software Developer</t>
        </is>
      </c>
      <c r="D360" s="15">
        <f>IF(E360&gt;='Scoring Rules'!$B$3,"强",IF(E360&gt;='Scoring Rules'!$B$4,"中","弱"))</f>
        <v/>
      </c>
      <c r="E360" s="125">
        <f>MIN(100,H360+IF(I360&gt;=5,'Scoring Rules'!$B$16,IF(I360&gt;=3,'Scoring Rules'!$B$17,IF(I360&gt;=1,'Scoring Rules'!$B$18,'Scoring Rules'!$B$19)))+IF(L360="是",'Scoring Rules'!$B$22,0)+MIN(J360*'Scoring Rules'!$B$23,'Scoring Rules'!$B$24)+IF(M360="是",'Scoring Rules'!$B$25,0)+MIN((IF(K360="",0,LEN(K360)-LEN(SUBSTITUTE(K360,";",""))+1))*'Scoring Rules'!$B$26,'Scoring Rules'!$B$27)+IF(N360="是",'Scoring Rules'!$B$28,0)+IF(O360="是",'Scoring Rules'!$B$29,0)+IF(P360="是",'Scoring Rules'!$B$30,0)+IF(Q360="是",'Scoring Rules'!$B$31,0)+IF(R360="是",'Scoring Rules'!$B$32,0)+IF(S360&gt;=8000,'Scoring Rules'!$B$35,IF(S360&gt;=4000,'Scoring Rules'!$B$36,IF(S360&gt;=2000,'Scoring Rules'!$B$37,'Scoring Rules'!$B$38))))</f>
        <v/>
      </c>
      <c r="F360" s="15" t="inlineStr">
        <is>
          <t>Standard</t>
        </is>
      </c>
      <c r="G360" s="15" t="inlineStr">
        <is>
          <t>Bachelor</t>
        </is>
      </c>
      <c r="H360" s="15" t="n">
        <v>12</v>
      </c>
      <c r="I360" s="15" t="n">
        <v>4</v>
      </c>
      <c r="J360" s="15" t="n">
        <v>15</v>
      </c>
      <c r="K360" s="15" t="str"/>
      <c r="L360" s="15" t="inlineStr">
        <is>
          <t>是</t>
        </is>
      </c>
      <c r="M360" s="15" t="str"/>
      <c r="N360" s="15" t="str"/>
      <c r="O360" s="15" t="str"/>
      <c r="P360" s="15" t="inlineStr">
        <is>
          <t>是</t>
        </is>
      </c>
      <c r="Q360" s="15" t="inlineStr">
        <is>
          <t>是</t>
        </is>
      </c>
      <c r="R360" s="15" t="inlineStr">
        <is>
          <t>是</t>
        </is>
      </c>
      <c r="S360" s="15" t="n">
        <v>4002</v>
      </c>
      <c r="T360" s="15" t="inlineStr">
        <is>
          <t>Frontend; Backend/API; Data/Database; Cloud/DevOps; Testing/Automation</t>
        </is>
      </c>
      <c r="U360" s="15" t="inlineStr">
        <is>
          <t>Healthcare; Technology; Education/Research</t>
        </is>
      </c>
      <c r="V360" s="15" t="inlineStr">
        <is>
          <t>C:\Workspace\java\scrape_indeed\soft_dav_part_1\791.html#23636</t>
        </is>
      </c>
    </row>
    <row r="361">
      <c r="A361" s="2">
        <f>IF(COUNTIF('Sample 20'!$B$2:$B$21,B361)&gt;0,"是","")</f>
        <v/>
      </c>
      <c r="B361" s="2" t="inlineStr">
        <is>
          <t>23206</t>
        </is>
      </c>
      <c r="C361" s="15" t="inlineStr">
        <is>
          <t>Software Developer</t>
        </is>
      </c>
      <c r="D361" s="15">
        <f>IF(E361&gt;='Scoring Rules'!$B$3,"强",IF(E361&gt;='Scoring Rules'!$B$4,"中","弱"))</f>
        <v/>
      </c>
      <c r="E361" s="125">
        <f>MIN(100,H361+IF(I361&gt;=5,'Scoring Rules'!$B$16,IF(I361&gt;=3,'Scoring Rules'!$B$17,IF(I361&gt;=1,'Scoring Rules'!$B$18,'Scoring Rules'!$B$19)))+IF(L361="是",'Scoring Rules'!$B$22,0)+MIN(J361*'Scoring Rules'!$B$23,'Scoring Rules'!$B$24)+IF(M361="是",'Scoring Rules'!$B$25,0)+MIN((IF(K361="",0,LEN(K361)-LEN(SUBSTITUTE(K361,";",""))+1))*'Scoring Rules'!$B$26,'Scoring Rules'!$B$27)+IF(N361="是",'Scoring Rules'!$B$28,0)+IF(O361="是",'Scoring Rules'!$B$29,0)+IF(P361="是",'Scoring Rules'!$B$30,0)+IF(Q361="是",'Scoring Rules'!$B$31,0)+IF(R361="是",'Scoring Rules'!$B$32,0)+IF(S361&gt;=8000,'Scoring Rules'!$B$35,IF(S361&gt;=4000,'Scoring Rules'!$B$36,IF(S361&gt;=2000,'Scoring Rules'!$B$37,'Scoring Rules'!$B$38))))</f>
        <v/>
      </c>
      <c r="F361" s="15" t="inlineStr">
        <is>
          <t>Standard</t>
        </is>
      </c>
      <c r="G361" s="15" t="inlineStr">
        <is>
          <t>Unspecified</t>
        </is>
      </c>
      <c r="H361" s="15" t="n">
        <v>2</v>
      </c>
      <c r="I361" s="15" t="n">
        <v>3</v>
      </c>
      <c r="J361" s="15" t="n">
        <v>6</v>
      </c>
      <c r="K361" s="15" t="str"/>
      <c r="L361" s="15" t="inlineStr">
        <is>
          <t>是</t>
        </is>
      </c>
      <c r="M361" s="15" t="str"/>
      <c r="N361" s="15" t="str"/>
      <c r="O361" s="15" t="str"/>
      <c r="P361" s="15" t="str"/>
      <c r="Q361" s="15" t="str"/>
      <c r="R361" s="15" t="str"/>
      <c r="S361" s="15" t="n">
        <v>1241</v>
      </c>
      <c r="T361" s="15" t="inlineStr">
        <is>
          <t>Data/Database; Embedded/Systems</t>
        </is>
      </c>
      <c r="U361" s="15" t="inlineStr">
        <is>
          <t>Finance/Banking; Technology; Education/Research</t>
        </is>
      </c>
      <c r="V361" s="15" t="inlineStr">
        <is>
          <t>C:\Workspace\java\scrape_indeed\soft_dav_part_1\793.html#23638</t>
        </is>
      </c>
    </row>
    <row r="362">
      <c r="A362" s="2">
        <f>IF(COUNTIF('Sample 20'!$B$2:$B$21,B362)&gt;0,"是","")</f>
        <v/>
      </c>
      <c r="B362" s="2" t="inlineStr">
        <is>
          <t>23211</t>
        </is>
      </c>
      <c r="C362" s="15" t="inlineStr">
        <is>
          <t>Software Developer</t>
        </is>
      </c>
      <c r="D362" s="15">
        <f>IF(E362&gt;='Scoring Rules'!$B$3,"强",IF(E362&gt;='Scoring Rules'!$B$4,"中","弱"))</f>
        <v/>
      </c>
      <c r="E362" s="125">
        <f>MIN(100,H362+IF(I362&gt;=5,'Scoring Rules'!$B$16,IF(I362&gt;=3,'Scoring Rules'!$B$17,IF(I362&gt;=1,'Scoring Rules'!$B$18,'Scoring Rules'!$B$19)))+IF(L362="是",'Scoring Rules'!$B$22,0)+MIN(J362*'Scoring Rules'!$B$23,'Scoring Rules'!$B$24)+IF(M362="是",'Scoring Rules'!$B$25,0)+MIN((IF(K362="",0,LEN(K362)-LEN(SUBSTITUTE(K362,";",""))+1))*'Scoring Rules'!$B$26,'Scoring Rules'!$B$27)+IF(N362="是",'Scoring Rules'!$B$28,0)+IF(O362="是",'Scoring Rules'!$B$29,0)+IF(P362="是",'Scoring Rules'!$B$30,0)+IF(Q362="是",'Scoring Rules'!$B$31,0)+IF(R362="是",'Scoring Rules'!$B$32,0)+IF(S362&gt;=8000,'Scoring Rules'!$B$35,IF(S362&gt;=4000,'Scoring Rules'!$B$36,IF(S362&gt;=2000,'Scoring Rules'!$B$37,'Scoring Rules'!$B$38))))</f>
        <v/>
      </c>
      <c r="F362" s="15" t="inlineStr">
        <is>
          <t>Standard</t>
        </is>
      </c>
      <c r="G362" s="15" t="inlineStr">
        <is>
          <t>Bachelor</t>
        </is>
      </c>
      <c r="H362" s="15" t="n">
        <v>12</v>
      </c>
      <c r="I362" s="15" t="n">
        <v>2</v>
      </c>
      <c r="J362" s="15" t="n">
        <v>17</v>
      </c>
      <c r="K362" s="15" t="str"/>
      <c r="L362" s="15" t="inlineStr">
        <is>
          <t>是</t>
        </is>
      </c>
      <c r="M362" s="15" t="str"/>
      <c r="N362" s="15" t="str"/>
      <c r="O362" s="15" t="str"/>
      <c r="P362" s="15" t="inlineStr">
        <is>
          <t>是</t>
        </is>
      </c>
      <c r="Q362" s="15" t="inlineStr">
        <is>
          <t>是</t>
        </is>
      </c>
      <c r="R362" s="15" t="inlineStr">
        <is>
          <t>是</t>
        </is>
      </c>
      <c r="S362" s="15" t="n">
        <v>2871</v>
      </c>
      <c r="T362" s="15" t="inlineStr">
        <is>
          <t>Frontend; Backend/API; Mobile; Data/Database</t>
        </is>
      </c>
      <c r="U362" s="15" t="inlineStr">
        <is>
          <t>Government/Defense; Technology; Education/Research</t>
        </is>
      </c>
      <c r="V362" s="15" t="inlineStr">
        <is>
          <t>C:\Workspace\java\scrape_indeed\soft_dav_part_1\798.html#23643</t>
        </is>
      </c>
    </row>
    <row r="363">
      <c r="A363" s="2">
        <f>IF(COUNTIF('Sample 20'!$B$2:$B$21,B363)&gt;0,"是","")</f>
        <v/>
      </c>
      <c r="B363" s="2" t="inlineStr">
        <is>
          <t>23213</t>
        </is>
      </c>
      <c r="C363" s="15" t="inlineStr">
        <is>
          <t>Software Developer</t>
        </is>
      </c>
      <c r="D363" s="15">
        <f>IF(E363&gt;='Scoring Rules'!$B$3,"强",IF(E363&gt;='Scoring Rules'!$B$4,"中","弱"))</f>
        <v/>
      </c>
      <c r="E363" s="125">
        <f>MIN(100,H363+IF(I363&gt;=5,'Scoring Rules'!$B$16,IF(I363&gt;=3,'Scoring Rules'!$B$17,IF(I363&gt;=1,'Scoring Rules'!$B$18,'Scoring Rules'!$B$19)))+IF(L363="是",'Scoring Rules'!$B$22,0)+MIN(J363*'Scoring Rules'!$B$23,'Scoring Rules'!$B$24)+IF(M363="是",'Scoring Rules'!$B$25,0)+MIN((IF(K363="",0,LEN(K363)-LEN(SUBSTITUTE(K363,";",""))+1))*'Scoring Rules'!$B$26,'Scoring Rules'!$B$27)+IF(N363="是",'Scoring Rules'!$B$28,0)+IF(O363="是",'Scoring Rules'!$B$29,0)+IF(P363="是",'Scoring Rules'!$B$30,0)+IF(Q363="是",'Scoring Rules'!$B$31,0)+IF(R363="是",'Scoring Rules'!$B$32,0)+IF(S363&gt;=8000,'Scoring Rules'!$B$35,IF(S363&gt;=4000,'Scoring Rules'!$B$36,IF(S363&gt;=2000,'Scoring Rules'!$B$37,'Scoring Rules'!$B$38))))</f>
        <v/>
      </c>
      <c r="F363" s="15" t="inlineStr">
        <is>
          <t>Standard</t>
        </is>
      </c>
      <c r="G363" s="15" t="inlineStr">
        <is>
          <t>Master</t>
        </is>
      </c>
      <c r="H363" s="15" t="n">
        <v>16</v>
      </c>
      <c r="I363" s="15" t="n">
        <v>3</v>
      </c>
      <c r="J363" s="15" t="n">
        <v>13</v>
      </c>
      <c r="K363" s="15" t="inlineStr">
        <is>
          <t>ITIL</t>
        </is>
      </c>
      <c r="L363" s="15" t="inlineStr">
        <is>
          <t>是</t>
        </is>
      </c>
      <c r="M363" s="15" t="str"/>
      <c r="N363" s="15" t="str"/>
      <c r="O363" s="15" t="str"/>
      <c r="P363" s="15" t="inlineStr">
        <is>
          <t>是</t>
        </is>
      </c>
      <c r="Q363" s="15" t="str"/>
      <c r="R363" s="15" t="inlineStr">
        <is>
          <t>是</t>
        </is>
      </c>
      <c r="S363" s="15" t="n">
        <v>3315</v>
      </c>
      <c r="T363" s="15" t="inlineStr">
        <is>
          <t>Frontend; Backend/API; Data/Database; Testing/Automation</t>
        </is>
      </c>
      <c r="U363" s="15" t="inlineStr">
        <is>
          <t>Technology; Consulting; Education/Research</t>
        </is>
      </c>
      <c r="V363" s="15" t="inlineStr">
        <is>
          <t>C:\Workspace\java\scrape_indeed\soft_dav_part_1\8.html#23645</t>
        </is>
      </c>
    </row>
    <row r="364">
      <c r="A364" s="2">
        <f>IF(COUNTIF('Sample 20'!$B$2:$B$21,B364)&gt;0,"是","")</f>
        <v/>
      </c>
      <c r="B364" s="2" t="inlineStr">
        <is>
          <t>23220</t>
        </is>
      </c>
      <c r="C364" s="15" t="inlineStr">
        <is>
          <t>Software Developer</t>
        </is>
      </c>
      <c r="D364" s="15">
        <f>IF(E364&gt;='Scoring Rules'!$B$3,"强",IF(E364&gt;='Scoring Rules'!$B$4,"中","弱"))</f>
        <v/>
      </c>
      <c r="E364" s="125">
        <f>MIN(100,H364+IF(I364&gt;=5,'Scoring Rules'!$B$16,IF(I364&gt;=3,'Scoring Rules'!$B$17,IF(I364&gt;=1,'Scoring Rules'!$B$18,'Scoring Rules'!$B$19)))+IF(L364="是",'Scoring Rules'!$B$22,0)+MIN(J364*'Scoring Rules'!$B$23,'Scoring Rules'!$B$24)+IF(M364="是",'Scoring Rules'!$B$25,0)+MIN((IF(K364="",0,LEN(K364)-LEN(SUBSTITUTE(K364,";",""))+1))*'Scoring Rules'!$B$26,'Scoring Rules'!$B$27)+IF(N364="是",'Scoring Rules'!$B$28,0)+IF(O364="是",'Scoring Rules'!$B$29,0)+IF(P364="是",'Scoring Rules'!$B$30,0)+IF(Q364="是",'Scoring Rules'!$B$31,0)+IF(R364="是",'Scoring Rules'!$B$32,0)+IF(S364&gt;=8000,'Scoring Rules'!$B$35,IF(S364&gt;=4000,'Scoring Rules'!$B$36,IF(S364&gt;=2000,'Scoring Rules'!$B$37,'Scoring Rules'!$B$38))))</f>
        <v/>
      </c>
      <c r="F364" s="15" t="inlineStr">
        <is>
          <t>Standard</t>
        </is>
      </c>
      <c r="G364" s="15" t="inlineStr">
        <is>
          <t>Bachelor</t>
        </is>
      </c>
      <c r="H364" s="15" t="n">
        <v>12</v>
      </c>
      <c r="I364" s="15" t="n">
        <v>1</v>
      </c>
      <c r="J364" s="15" t="n">
        <v>14</v>
      </c>
      <c r="K364" s="15" t="str"/>
      <c r="L364" s="15" t="inlineStr">
        <is>
          <t>是</t>
        </is>
      </c>
      <c r="M364" s="15" t="str"/>
      <c r="N364" s="15" t="str"/>
      <c r="O364" s="15" t="str"/>
      <c r="P364" s="15" t="str"/>
      <c r="Q364" s="15" t="inlineStr">
        <is>
          <t>是</t>
        </is>
      </c>
      <c r="R364" s="15" t="inlineStr">
        <is>
          <t>是</t>
        </is>
      </c>
      <c r="S364" s="15" t="n">
        <v>2001</v>
      </c>
      <c r="T364" s="15" t="inlineStr">
        <is>
          <t>Frontend; Backend/API; Mobile</t>
        </is>
      </c>
      <c r="U364" s="15" t="inlineStr">
        <is>
          <t>Technology; Education/Research</t>
        </is>
      </c>
      <c r="V364" s="15" t="inlineStr">
        <is>
          <t>C:\Workspace\java\scrape_indeed\soft_dav_part_1\805.html#23652</t>
        </is>
      </c>
    </row>
    <row r="365">
      <c r="A365" s="2">
        <f>IF(COUNTIF('Sample 20'!$B$2:$B$21,B365)&gt;0,"是","")</f>
        <v/>
      </c>
      <c r="B365" s="2" t="inlineStr">
        <is>
          <t>23227</t>
        </is>
      </c>
      <c r="C365" s="15" t="inlineStr">
        <is>
          <t>Software Developer</t>
        </is>
      </c>
      <c r="D365" s="15">
        <f>IF(E365&gt;='Scoring Rules'!$B$3,"强",IF(E365&gt;='Scoring Rules'!$B$4,"中","弱"))</f>
        <v/>
      </c>
      <c r="E365" s="125">
        <f>MIN(100,H365+IF(I365&gt;=5,'Scoring Rules'!$B$16,IF(I365&gt;=3,'Scoring Rules'!$B$17,IF(I365&gt;=1,'Scoring Rules'!$B$18,'Scoring Rules'!$B$19)))+IF(L365="是",'Scoring Rules'!$B$22,0)+MIN(J365*'Scoring Rules'!$B$23,'Scoring Rules'!$B$24)+IF(M365="是",'Scoring Rules'!$B$25,0)+MIN((IF(K365="",0,LEN(K365)-LEN(SUBSTITUTE(K365,";",""))+1))*'Scoring Rules'!$B$26,'Scoring Rules'!$B$27)+IF(N365="是",'Scoring Rules'!$B$28,0)+IF(O365="是",'Scoring Rules'!$B$29,0)+IF(P365="是",'Scoring Rules'!$B$30,0)+IF(Q365="是",'Scoring Rules'!$B$31,0)+IF(R365="是",'Scoring Rules'!$B$32,0)+IF(S365&gt;=8000,'Scoring Rules'!$B$35,IF(S365&gt;=4000,'Scoring Rules'!$B$36,IF(S365&gt;=2000,'Scoring Rules'!$B$37,'Scoring Rules'!$B$38))))</f>
        <v/>
      </c>
      <c r="F365" s="15" t="inlineStr">
        <is>
          <t>Standard</t>
        </is>
      </c>
      <c r="G365" s="15" t="inlineStr">
        <is>
          <t>Master</t>
        </is>
      </c>
      <c r="H365" s="15" t="n">
        <v>16</v>
      </c>
      <c r="I365" s="15" t="n">
        <v>3</v>
      </c>
      <c r="J365" s="15" t="n">
        <v>25</v>
      </c>
      <c r="K365" s="15" t="inlineStr">
        <is>
          <t>ITIL</t>
        </is>
      </c>
      <c r="L365" s="15" t="inlineStr">
        <is>
          <t>是</t>
        </is>
      </c>
      <c r="M365" s="15" t="str"/>
      <c r="N365" s="15" t="str"/>
      <c r="O365" s="15" t="str"/>
      <c r="P365" s="15" t="inlineStr">
        <is>
          <t>是</t>
        </is>
      </c>
      <c r="Q365" s="15" t="inlineStr">
        <is>
          <t>是</t>
        </is>
      </c>
      <c r="R365" s="15" t="inlineStr">
        <is>
          <t>是</t>
        </is>
      </c>
      <c r="S365" s="15" t="n">
        <v>3521</v>
      </c>
      <c r="T365" s="15" t="inlineStr">
        <is>
          <t>Frontend; Backend/API; Data/Database; Cloud/DevOps; Testing/Automation</t>
        </is>
      </c>
      <c r="U365" s="15" t="inlineStr">
        <is>
          <t>Technology; Education/Research</t>
        </is>
      </c>
      <c r="V365" s="15" t="inlineStr">
        <is>
          <t>C:\Workspace\java\scrape_indeed\soft_dav_part_1\811.html#23659</t>
        </is>
      </c>
    </row>
    <row r="366">
      <c r="A366" s="2">
        <f>IF(COUNTIF('Sample 20'!$B$2:$B$21,B366)&gt;0,"是","")</f>
        <v/>
      </c>
      <c r="B366" s="2" t="inlineStr">
        <is>
          <t>23228</t>
        </is>
      </c>
      <c r="C366" s="15" t="inlineStr">
        <is>
          <t>Software Developer</t>
        </is>
      </c>
      <c r="D366" s="15">
        <f>IF(E366&gt;='Scoring Rules'!$B$3,"强",IF(E366&gt;='Scoring Rules'!$B$4,"中","弱"))</f>
        <v/>
      </c>
      <c r="E366" s="125">
        <f>MIN(100,H366+IF(I366&gt;=5,'Scoring Rules'!$B$16,IF(I366&gt;=3,'Scoring Rules'!$B$17,IF(I366&gt;=1,'Scoring Rules'!$B$18,'Scoring Rules'!$B$19)))+IF(L366="是",'Scoring Rules'!$B$22,0)+MIN(J366*'Scoring Rules'!$B$23,'Scoring Rules'!$B$24)+IF(M366="是",'Scoring Rules'!$B$25,0)+MIN((IF(K366="",0,LEN(K366)-LEN(SUBSTITUTE(K366,";",""))+1))*'Scoring Rules'!$B$26,'Scoring Rules'!$B$27)+IF(N366="是",'Scoring Rules'!$B$28,0)+IF(O366="是",'Scoring Rules'!$B$29,0)+IF(P366="是",'Scoring Rules'!$B$30,0)+IF(Q366="是",'Scoring Rules'!$B$31,0)+IF(R366="是",'Scoring Rules'!$B$32,0)+IF(S366&gt;=8000,'Scoring Rules'!$B$35,IF(S366&gt;=4000,'Scoring Rules'!$B$36,IF(S366&gt;=2000,'Scoring Rules'!$B$37,'Scoring Rules'!$B$38))))</f>
        <v/>
      </c>
      <c r="F366" s="15" t="inlineStr">
        <is>
          <t>Standard</t>
        </is>
      </c>
      <c r="G366" s="15" t="inlineStr">
        <is>
          <t>Master</t>
        </is>
      </c>
      <c r="H366" s="15" t="n">
        <v>16</v>
      </c>
      <c r="I366" s="15" t="n">
        <v>2</v>
      </c>
      <c r="J366" s="15" t="n">
        <v>16</v>
      </c>
      <c r="K366" s="15" t="str"/>
      <c r="L366" s="15" t="inlineStr">
        <is>
          <t>是</t>
        </is>
      </c>
      <c r="M366" s="15" t="str"/>
      <c r="N366" s="15" t="str"/>
      <c r="O366" s="15" t="inlineStr">
        <is>
          <t>是</t>
        </is>
      </c>
      <c r="P366" s="15" t="inlineStr">
        <is>
          <t>是</t>
        </is>
      </c>
      <c r="Q366" s="15" t="str"/>
      <c r="R366" s="15" t="inlineStr">
        <is>
          <t>是</t>
        </is>
      </c>
      <c r="S366" s="15" t="n">
        <v>3686</v>
      </c>
      <c r="T366" s="15" t="inlineStr">
        <is>
          <t>Frontend; Backend/API; Data/Database; Cloud/DevOps; Testing/Automation</t>
        </is>
      </c>
      <c r="U366" s="15" t="inlineStr">
        <is>
          <t>Technology; Education/Research</t>
        </is>
      </c>
      <c r="V366" s="15" t="inlineStr">
        <is>
          <t>C:\Workspace\java\scrape_indeed\soft_dav_part_1\812.html#23660</t>
        </is>
      </c>
    </row>
    <row r="367">
      <c r="A367" s="2">
        <f>IF(COUNTIF('Sample 20'!$B$2:$B$21,B367)&gt;0,"是","")</f>
        <v/>
      </c>
      <c r="B367" s="2" t="inlineStr">
        <is>
          <t>23230</t>
        </is>
      </c>
      <c r="C367" s="15" t="inlineStr">
        <is>
          <t>Software Developer</t>
        </is>
      </c>
      <c r="D367" s="15">
        <f>IF(E367&gt;='Scoring Rules'!$B$3,"强",IF(E367&gt;='Scoring Rules'!$B$4,"中","弱"))</f>
        <v/>
      </c>
      <c r="E367" s="125">
        <f>MIN(100,H367+IF(I367&gt;=5,'Scoring Rules'!$B$16,IF(I367&gt;=3,'Scoring Rules'!$B$17,IF(I367&gt;=1,'Scoring Rules'!$B$18,'Scoring Rules'!$B$19)))+IF(L367="是",'Scoring Rules'!$B$22,0)+MIN(J367*'Scoring Rules'!$B$23,'Scoring Rules'!$B$24)+IF(M367="是",'Scoring Rules'!$B$25,0)+MIN((IF(K367="",0,LEN(K367)-LEN(SUBSTITUTE(K367,";",""))+1))*'Scoring Rules'!$B$26,'Scoring Rules'!$B$27)+IF(N367="是",'Scoring Rules'!$B$28,0)+IF(O367="是",'Scoring Rules'!$B$29,0)+IF(P367="是",'Scoring Rules'!$B$30,0)+IF(Q367="是",'Scoring Rules'!$B$31,0)+IF(R367="是",'Scoring Rules'!$B$32,0)+IF(S367&gt;=8000,'Scoring Rules'!$B$35,IF(S367&gt;=4000,'Scoring Rules'!$B$36,IF(S367&gt;=2000,'Scoring Rules'!$B$37,'Scoring Rules'!$B$38))))</f>
        <v/>
      </c>
      <c r="F367" s="15" t="inlineStr">
        <is>
          <t>Standard</t>
        </is>
      </c>
      <c r="G367" s="15" t="inlineStr">
        <is>
          <t>Bachelor</t>
        </is>
      </c>
      <c r="H367" s="15" t="n">
        <v>12</v>
      </c>
      <c r="I367" s="15" t="n">
        <v>2</v>
      </c>
      <c r="J367" s="15" t="n">
        <v>13</v>
      </c>
      <c r="K367" s="15" t="str"/>
      <c r="L367" s="15" t="inlineStr">
        <is>
          <t>是</t>
        </is>
      </c>
      <c r="M367" s="15" t="str"/>
      <c r="N367" s="15" t="str"/>
      <c r="O367" s="15" t="str"/>
      <c r="P367" s="15" t="inlineStr">
        <is>
          <t>是</t>
        </is>
      </c>
      <c r="Q367" s="15" t="inlineStr">
        <is>
          <t>是</t>
        </is>
      </c>
      <c r="R367" s="15" t="inlineStr">
        <is>
          <t>是</t>
        </is>
      </c>
      <c r="S367" s="15" t="n">
        <v>2969</v>
      </c>
      <c r="T367" s="15" t="inlineStr">
        <is>
          <t>Frontend; Backend/API; Data/Database; Embedded/Systems</t>
        </is>
      </c>
      <c r="U367" s="15" t="inlineStr">
        <is>
          <t>Government/Defense; Technology; Education/Research</t>
        </is>
      </c>
      <c r="V367" s="15" t="inlineStr">
        <is>
          <t>C:\Workspace\java\scrape_indeed\soft_dav_part_1\814.html#23662</t>
        </is>
      </c>
    </row>
    <row r="368">
      <c r="A368" s="2">
        <f>IF(COUNTIF('Sample 20'!$B$2:$B$21,B368)&gt;0,"是","")</f>
        <v/>
      </c>
      <c r="B368" s="2" t="inlineStr">
        <is>
          <t>23239</t>
        </is>
      </c>
      <c r="C368" s="15" t="inlineStr">
        <is>
          <t>Software Developer</t>
        </is>
      </c>
      <c r="D368" s="15">
        <f>IF(E368&gt;='Scoring Rules'!$B$3,"强",IF(E368&gt;='Scoring Rules'!$B$4,"中","弱"))</f>
        <v/>
      </c>
      <c r="E368" s="125">
        <f>MIN(100,H368+IF(I368&gt;=5,'Scoring Rules'!$B$16,IF(I368&gt;=3,'Scoring Rules'!$B$17,IF(I368&gt;=1,'Scoring Rules'!$B$18,'Scoring Rules'!$B$19)))+IF(L368="是",'Scoring Rules'!$B$22,0)+MIN(J368*'Scoring Rules'!$B$23,'Scoring Rules'!$B$24)+IF(M368="是",'Scoring Rules'!$B$25,0)+MIN((IF(K368="",0,LEN(K368)-LEN(SUBSTITUTE(K368,";",""))+1))*'Scoring Rules'!$B$26,'Scoring Rules'!$B$27)+IF(N368="是",'Scoring Rules'!$B$28,0)+IF(O368="是",'Scoring Rules'!$B$29,0)+IF(P368="是",'Scoring Rules'!$B$30,0)+IF(Q368="是",'Scoring Rules'!$B$31,0)+IF(R368="是",'Scoring Rules'!$B$32,0)+IF(S368&gt;=8000,'Scoring Rules'!$B$35,IF(S368&gt;=4000,'Scoring Rules'!$B$36,IF(S368&gt;=2000,'Scoring Rules'!$B$37,'Scoring Rules'!$B$38))))</f>
        <v/>
      </c>
      <c r="F368" s="15" t="inlineStr">
        <is>
          <t>Standard</t>
        </is>
      </c>
      <c r="G368" s="15" t="inlineStr">
        <is>
          <t>Bachelor</t>
        </is>
      </c>
      <c r="H368" s="15" t="n">
        <v>12</v>
      </c>
      <c r="I368" s="15" t="n">
        <v>4</v>
      </c>
      <c r="J368" s="15" t="n">
        <v>28</v>
      </c>
      <c r="K368" s="15" t="str"/>
      <c r="L368" s="15" t="inlineStr">
        <is>
          <t>是</t>
        </is>
      </c>
      <c r="M368" s="15" t="str"/>
      <c r="N368" s="15" t="str"/>
      <c r="O368" s="15" t="str"/>
      <c r="P368" s="15" t="str"/>
      <c r="Q368" s="15" t="inlineStr">
        <is>
          <t>是</t>
        </is>
      </c>
      <c r="R368" s="15" t="inlineStr">
        <is>
          <t>是</t>
        </is>
      </c>
      <c r="S368" s="15" t="n">
        <v>10526</v>
      </c>
      <c r="T368" s="15" t="inlineStr">
        <is>
          <t>Frontend; Backend/API; Data/Database; Cloud/DevOps; Testing/Automation</t>
        </is>
      </c>
      <c r="U368" s="15" t="inlineStr">
        <is>
          <t>Healthcare; Technology; Manufacturing/Automotive</t>
        </is>
      </c>
      <c r="V368" s="15" t="inlineStr">
        <is>
          <t>C:\Workspace\java\scrape_indeed\soft_dav_part_1\822.html#23671</t>
        </is>
      </c>
    </row>
    <row r="369">
      <c r="A369" s="2">
        <f>IF(COUNTIF('Sample 20'!$B$2:$B$21,B369)&gt;0,"是","")</f>
        <v/>
      </c>
      <c r="B369" s="2" t="inlineStr">
        <is>
          <t>23240</t>
        </is>
      </c>
      <c r="C369" s="15" t="inlineStr">
        <is>
          <t>Software Developer</t>
        </is>
      </c>
      <c r="D369" s="15">
        <f>IF(E369&gt;='Scoring Rules'!$B$3,"强",IF(E369&gt;='Scoring Rules'!$B$4,"中","弱"))</f>
        <v/>
      </c>
      <c r="E369" s="125">
        <f>MIN(100,H369+IF(I369&gt;=5,'Scoring Rules'!$B$16,IF(I369&gt;=3,'Scoring Rules'!$B$17,IF(I369&gt;=1,'Scoring Rules'!$B$18,'Scoring Rules'!$B$19)))+IF(L369="是",'Scoring Rules'!$B$22,0)+MIN(J369*'Scoring Rules'!$B$23,'Scoring Rules'!$B$24)+IF(M369="是",'Scoring Rules'!$B$25,0)+MIN((IF(K369="",0,LEN(K369)-LEN(SUBSTITUTE(K369,";",""))+1))*'Scoring Rules'!$B$26,'Scoring Rules'!$B$27)+IF(N369="是",'Scoring Rules'!$B$28,0)+IF(O369="是",'Scoring Rules'!$B$29,0)+IF(P369="是",'Scoring Rules'!$B$30,0)+IF(Q369="是",'Scoring Rules'!$B$31,0)+IF(R369="是",'Scoring Rules'!$B$32,0)+IF(S369&gt;=8000,'Scoring Rules'!$B$35,IF(S369&gt;=4000,'Scoring Rules'!$B$36,IF(S369&gt;=2000,'Scoring Rules'!$B$37,'Scoring Rules'!$B$38))))</f>
        <v/>
      </c>
      <c r="F369" s="15" t="inlineStr">
        <is>
          <t>Standard</t>
        </is>
      </c>
      <c r="G369" s="15" t="inlineStr">
        <is>
          <t>Bachelor</t>
        </is>
      </c>
      <c r="H369" s="15" t="n">
        <v>12</v>
      </c>
      <c r="I369" s="15" t="n">
        <v>4</v>
      </c>
      <c r="J369" s="15" t="n">
        <v>28</v>
      </c>
      <c r="K369" s="15" t="str"/>
      <c r="L369" s="15" t="inlineStr">
        <is>
          <t>是</t>
        </is>
      </c>
      <c r="M369" s="15" t="str"/>
      <c r="N369" s="15" t="str"/>
      <c r="O369" s="15" t="str"/>
      <c r="P369" s="15" t="str"/>
      <c r="Q369" s="15" t="str"/>
      <c r="R369" s="15" t="inlineStr">
        <is>
          <t>是</t>
        </is>
      </c>
      <c r="S369" s="15" t="n">
        <v>10067</v>
      </c>
      <c r="T369" s="15" t="inlineStr">
        <is>
          <t>Frontend; Backend/API; Data/Database; Cloud/DevOps; Testing/Automation</t>
        </is>
      </c>
      <c r="U369" s="15" t="inlineStr">
        <is>
          <t>Healthcare; Technology; Manufacturing/Automotive</t>
        </is>
      </c>
      <c r="V369" s="15" t="inlineStr">
        <is>
          <t>C:\Workspace\java\scrape_indeed\soft_dav_part_1\823.html#23672</t>
        </is>
      </c>
    </row>
    <row r="370">
      <c r="A370" s="2">
        <f>IF(COUNTIF('Sample 20'!$B$2:$B$21,B370)&gt;0,"是","")</f>
        <v/>
      </c>
      <c r="B370" s="2" t="inlineStr">
        <is>
          <t>23241</t>
        </is>
      </c>
      <c r="C370" s="15" t="inlineStr">
        <is>
          <t>Software Developer</t>
        </is>
      </c>
      <c r="D370" s="15">
        <f>IF(E370&gt;='Scoring Rules'!$B$3,"强",IF(E370&gt;='Scoring Rules'!$B$4,"中","弱"))</f>
        <v/>
      </c>
      <c r="E370" s="125">
        <f>MIN(100,H370+IF(I370&gt;=5,'Scoring Rules'!$B$16,IF(I370&gt;=3,'Scoring Rules'!$B$17,IF(I370&gt;=1,'Scoring Rules'!$B$18,'Scoring Rules'!$B$19)))+IF(L370="是",'Scoring Rules'!$B$22,0)+MIN(J370*'Scoring Rules'!$B$23,'Scoring Rules'!$B$24)+IF(M370="是",'Scoring Rules'!$B$25,0)+MIN((IF(K370="",0,LEN(K370)-LEN(SUBSTITUTE(K370,";",""))+1))*'Scoring Rules'!$B$26,'Scoring Rules'!$B$27)+IF(N370="是",'Scoring Rules'!$B$28,0)+IF(O370="是",'Scoring Rules'!$B$29,0)+IF(P370="是",'Scoring Rules'!$B$30,0)+IF(Q370="是",'Scoring Rules'!$B$31,0)+IF(R370="是",'Scoring Rules'!$B$32,0)+IF(S370&gt;=8000,'Scoring Rules'!$B$35,IF(S370&gt;=4000,'Scoring Rules'!$B$36,IF(S370&gt;=2000,'Scoring Rules'!$B$37,'Scoring Rules'!$B$38))))</f>
        <v/>
      </c>
      <c r="F370" s="15" t="inlineStr">
        <is>
          <t>Standard</t>
        </is>
      </c>
      <c r="G370" s="15" t="inlineStr">
        <is>
          <t>Bachelor</t>
        </is>
      </c>
      <c r="H370" s="15" t="n">
        <v>12</v>
      </c>
      <c r="I370" s="15" t="n">
        <v>2</v>
      </c>
      <c r="J370" s="15" t="n">
        <v>8</v>
      </c>
      <c r="K370" s="15" t="str"/>
      <c r="L370" s="15" t="inlineStr">
        <is>
          <t>是</t>
        </is>
      </c>
      <c r="M370" s="15" t="str"/>
      <c r="N370" s="15" t="str"/>
      <c r="O370" s="15" t="str"/>
      <c r="P370" s="15" t="str"/>
      <c r="Q370" s="15" t="inlineStr">
        <is>
          <t>是</t>
        </is>
      </c>
      <c r="R370" s="15" t="inlineStr">
        <is>
          <t>是</t>
        </is>
      </c>
      <c r="S370" s="15" t="n">
        <v>2008</v>
      </c>
      <c r="T370" s="15" t="inlineStr">
        <is>
          <t>Frontend; Cloud/DevOps; Embedded/Systems</t>
        </is>
      </c>
      <c r="U370" s="15" t="inlineStr">
        <is>
          <t>Finance/Banking; Healthcare; Technology; Education/Research</t>
        </is>
      </c>
      <c r="V370" s="15" t="inlineStr">
        <is>
          <t>C:\Workspace\java\scrape_indeed\soft_dav_part_1\824.html#23673</t>
        </is>
      </c>
    </row>
    <row r="371">
      <c r="A371" s="2">
        <f>IF(COUNTIF('Sample 20'!$B$2:$B$21,B371)&gt;0,"是","")</f>
        <v/>
      </c>
      <c r="B371" s="2" t="inlineStr">
        <is>
          <t>23244</t>
        </is>
      </c>
      <c r="C371" s="15" t="inlineStr">
        <is>
          <t>Software Developer</t>
        </is>
      </c>
      <c r="D371" s="15">
        <f>IF(E371&gt;='Scoring Rules'!$B$3,"强",IF(E371&gt;='Scoring Rules'!$B$4,"中","弱"))</f>
        <v/>
      </c>
      <c r="E371" s="125">
        <f>MIN(100,H371+IF(I371&gt;=5,'Scoring Rules'!$B$16,IF(I371&gt;=3,'Scoring Rules'!$B$17,IF(I371&gt;=1,'Scoring Rules'!$B$18,'Scoring Rules'!$B$19)))+IF(L371="是",'Scoring Rules'!$B$22,0)+MIN(J371*'Scoring Rules'!$B$23,'Scoring Rules'!$B$24)+IF(M371="是",'Scoring Rules'!$B$25,0)+MIN((IF(K371="",0,LEN(K371)-LEN(SUBSTITUTE(K371,";",""))+1))*'Scoring Rules'!$B$26,'Scoring Rules'!$B$27)+IF(N371="是",'Scoring Rules'!$B$28,0)+IF(O371="是",'Scoring Rules'!$B$29,0)+IF(P371="是",'Scoring Rules'!$B$30,0)+IF(Q371="是",'Scoring Rules'!$B$31,0)+IF(R371="是",'Scoring Rules'!$B$32,0)+IF(S371&gt;=8000,'Scoring Rules'!$B$35,IF(S371&gt;=4000,'Scoring Rules'!$B$36,IF(S371&gt;=2000,'Scoring Rules'!$B$37,'Scoring Rules'!$B$38))))</f>
        <v/>
      </c>
      <c r="F371" s="15" t="inlineStr">
        <is>
          <t>Standard</t>
        </is>
      </c>
      <c r="G371" s="15" t="inlineStr">
        <is>
          <t>Unspecified</t>
        </is>
      </c>
      <c r="H371" s="15" t="n">
        <v>2</v>
      </c>
      <c r="I371" s="15" t="n">
        <v>5</v>
      </c>
      <c r="J371" s="15" t="n">
        <v>11</v>
      </c>
      <c r="K371" s="15" t="str"/>
      <c r="L371" s="15" t="str"/>
      <c r="M371" s="15" t="str"/>
      <c r="N371" s="15" t="str"/>
      <c r="O371" s="15" t="str"/>
      <c r="P371" s="15" t="str"/>
      <c r="Q371" s="15" t="str"/>
      <c r="R371" s="15" t="str"/>
      <c r="S371" s="15" t="n">
        <v>5489</v>
      </c>
      <c r="T371" s="15" t="inlineStr">
        <is>
          <t>Frontend; Backend/API; Data/Database; Testing/Automation</t>
        </is>
      </c>
      <c r="U371" s="15" t="inlineStr">
        <is>
          <t>Finance/Banking; Technology; Education/Research</t>
        </is>
      </c>
      <c r="V371" s="15" t="inlineStr">
        <is>
          <t>C:\Workspace\java\scrape_indeed\soft_dav_part_1\827.html#23676</t>
        </is>
      </c>
    </row>
    <row r="372">
      <c r="A372" s="2">
        <f>IF(COUNTIF('Sample 20'!$B$2:$B$21,B372)&gt;0,"是","")</f>
        <v/>
      </c>
      <c r="B372" s="2" t="inlineStr">
        <is>
          <t>23249</t>
        </is>
      </c>
      <c r="C372" s="15" t="inlineStr">
        <is>
          <t>Software Developer</t>
        </is>
      </c>
      <c r="D372" s="15">
        <f>IF(E372&gt;='Scoring Rules'!$B$3,"强",IF(E372&gt;='Scoring Rules'!$B$4,"中","弱"))</f>
        <v/>
      </c>
      <c r="E372" s="125">
        <f>MIN(100,H372+IF(I372&gt;=5,'Scoring Rules'!$B$16,IF(I372&gt;=3,'Scoring Rules'!$B$17,IF(I372&gt;=1,'Scoring Rules'!$B$18,'Scoring Rules'!$B$19)))+IF(L372="是",'Scoring Rules'!$B$22,0)+MIN(J372*'Scoring Rules'!$B$23,'Scoring Rules'!$B$24)+IF(M372="是",'Scoring Rules'!$B$25,0)+MIN((IF(K372="",0,LEN(K372)-LEN(SUBSTITUTE(K372,";",""))+1))*'Scoring Rules'!$B$26,'Scoring Rules'!$B$27)+IF(N372="是",'Scoring Rules'!$B$28,0)+IF(O372="是",'Scoring Rules'!$B$29,0)+IF(P372="是",'Scoring Rules'!$B$30,0)+IF(Q372="是",'Scoring Rules'!$B$31,0)+IF(R372="是",'Scoring Rules'!$B$32,0)+IF(S372&gt;=8000,'Scoring Rules'!$B$35,IF(S372&gt;=4000,'Scoring Rules'!$B$36,IF(S372&gt;=2000,'Scoring Rules'!$B$37,'Scoring Rules'!$B$38))))</f>
        <v/>
      </c>
      <c r="F372" s="15" t="inlineStr">
        <is>
          <t>Standard</t>
        </is>
      </c>
      <c r="G372" s="15" t="inlineStr">
        <is>
          <t>Bachelor</t>
        </is>
      </c>
      <c r="H372" s="15" t="n">
        <v>12</v>
      </c>
      <c r="I372" s="15" t="n">
        <v>4</v>
      </c>
      <c r="J372" s="15" t="n">
        <v>16</v>
      </c>
      <c r="K372" s="15" t="str"/>
      <c r="L372" s="15" t="inlineStr">
        <is>
          <t>是</t>
        </is>
      </c>
      <c r="M372" s="15" t="str"/>
      <c r="N372" s="15" t="str"/>
      <c r="O372" s="15" t="inlineStr">
        <is>
          <t>是</t>
        </is>
      </c>
      <c r="P372" s="15" t="str"/>
      <c r="Q372" s="15" t="inlineStr">
        <is>
          <t>是</t>
        </is>
      </c>
      <c r="R372" s="15" t="inlineStr">
        <is>
          <t>是</t>
        </is>
      </c>
      <c r="S372" s="15" t="n">
        <v>7931</v>
      </c>
      <c r="T372" s="15" t="inlineStr">
        <is>
          <t>Frontend; Backend/API; Data/Database; Cloud/DevOps; Embedded/Systems; Testing/Automation; Machine Learning</t>
        </is>
      </c>
      <c r="U372" s="15" t="inlineStr">
        <is>
          <t>Finance/Banking; Technology; Consulting; Education/Research</t>
        </is>
      </c>
      <c r="V372" s="15" t="inlineStr">
        <is>
          <t>C:\Workspace\java\scrape_indeed\soft_dav_part_1\831.html#23681</t>
        </is>
      </c>
    </row>
    <row r="373">
      <c r="A373" s="2">
        <f>IF(COUNTIF('Sample 20'!$B$2:$B$21,B373)&gt;0,"是","")</f>
        <v/>
      </c>
      <c r="B373" s="2" t="inlineStr">
        <is>
          <t>23254</t>
        </is>
      </c>
      <c r="C373" s="15" t="inlineStr">
        <is>
          <t>Software Developer</t>
        </is>
      </c>
      <c r="D373" s="15">
        <f>IF(E373&gt;='Scoring Rules'!$B$3,"强",IF(E373&gt;='Scoring Rules'!$B$4,"中","弱"))</f>
        <v/>
      </c>
      <c r="E373" s="125">
        <f>MIN(100,H373+IF(I373&gt;=5,'Scoring Rules'!$B$16,IF(I373&gt;=3,'Scoring Rules'!$B$17,IF(I373&gt;=1,'Scoring Rules'!$B$18,'Scoring Rules'!$B$19)))+IF(L373="是",'Scoring Rules'!$B$22,0)+MIN(J373*'Scoring Rules'!$B$23,'Scoring Rules'!$B$24)+IF(M373="是",'Scoring Rules'!$B$25,0)+MIN((IF(K373="",0,LEN(K373)-LEN(SUBSTITUTE(K373,";",""))+1))*'Scoring Rules'!$B$26,'Scoring Rules'!$B$27)+IF(N373="是",'Scoring Rules'!$B$28,0)+IF(O373="是",'Scoring Rules'!$B$29,0)+IF(P373="是",'Scoring Rules'!$B$30,0)+IF(Q373="是",'Scoring Rules'!$B$31,0)+IF(R373="是",'Scoring Rules'!$B$32,0)+IF(S373&gt;=8000,'Scoring Rules'!$B$35,IF(S373&gt;=4000,'Scoring Rules'!$B$36,IF(S373&gt;=2000,'Scoring Rules'!$B$37,'Scoring Rules'!$B$38))))</f>
        <v/>
      </c>
      <c r="F373" s="15" t="inlineStr">
        <is>
          <t>Standard</t>
        </is>
      </c>
      <c r="G373" s="15" t="inlineStr">
        <is>
          <t>Unspecified</t>
        </is>
      </c>
      <c r="H373" s="15" t="n">
        <v>2</v>
      </c>
      <c r="I373" s="15" t="n">
        <v>6</v>
      </c>
      <c r="J373" s="15" t="n">
        <v>14</v>
      </c>
      <c r="K373" s="15" t="str"/>
      <c r="L373" s="15" t="str"/>
      <c r="M373" s="15" t="str"/>
      <c r="N373" s="15" t="str"/>
      <c r="O373" s="15" t="str"/>
      <c r="P373" s="15" t="str"/>
      <c r="Q373" s="15" t="str"/>
      <c r="R373" s="15" t="inlineStr">
        <is>
          <t>是</t>
        </is>
      </c>
      <c r="S373" s="15" t="n">
        <v>8021</v>
      </c>
      <c r="T373" s="15" t="inlineStr">
        <is>
          <t>Frontend; Backend/API; Data/Database; Cloud/DevOps; Testing/Automation</t>
        </is>
      </c>
      <c r="U373" s="15" t="inlineStr">
        <is>
          <t>Finance/Banking; Healthcare; Technology; Consulting; Education/Research; Manufacturing/Automotive</t>
        </is>
      </c>
      <c r="V373" s="15" t="inlineStr">
        <is>
          <t>C:\Workspace\java\scrape_indeed\soft_dav_part_1\836.html#23686</t>
        </is>
      </c>
    </row>
    <row r="374">
      <c r="A374" s="2">
        <f>IF(COUNTIF('Sample 20'!$B$2:$B$21,B374)&gt;0,"是","")</f>
        <v/>
      </c>
      <c r="B374" s="2" t="inlineStr">
        <is>
          <t>23258</t>
        </is>
      </c>
      <c r="C374" s="15" t="inlineStr">
        <is>
          <t>Software Developer</t>
        </is>
      </c>
      <c r="D374" s="15">
        <f>IF(E374&gt;='Scoring Rules'!$B$3,"强",IF(E374&gt;='Scoring Rules'!$B$4,"中","弱"))</f>
        <v/>
      </c>
      <c r="E374" s="125">
        <f>MIN(100,H374+IF(I374&gt;=5,'Scoring Rules'!$B$16,IF(I374&gt;=3,'Scoring Rules'!$B$17,IF(I374&gt;=1,'Scoring Rules'!$B$18,'Scoring Rules'!$B$19)))+IF(L374="是",'Scoring Rules'!$B$22,0)+MIN(J374*'Scoring Rules'!$B$23,'Scoring Rules'!$B$24)+IF(M374="是",'Scoring Rules'!$B$25,0)+MIN((IF(K374="",0,LEN(K374)-LEN(SUBSTITUTE(K374,";",""))+1))*'Scoring Rules'!$B$26,'Scoring Rules'!$B$27)+IF(N374="是",'Scoring Rules'!$B$28,0)+IF(O374="是",'Scoring Rules'!$B$29,0)+IF(P374="是",'Scoring Rules'!$B$30,0)+IF(Q374="是",'Scoring Rules'!$B$31,0)+IF(R374="是",'Scoring Rules'!$B$32,0)+IF(S374&gt;=8000,'Scoring Rules'!$B$35,IF(S374&gt;=4000,'Scoring Rules'!$B$36,IF(S374&gt;=2000,'Scoring Rules'!$B$37,'Scoring Rules'!$B$38))))</f>
        <v/>
      </c>
      <c r="F374" s="15" t="inlineStr">
        <is>
          <t>Standard</t>
        </is>
      </c>
      <c r="G374" s="15" t="inlineStr">
        <is>
          <t>Bachelor</t>
        </is>
      </c>
      <c r="H374" s="15" t="n">
        <v>12</v>
      </c>
      <c r="I374" s="15" t="n">
        <v>5</v>
      </c>
      <c r="J374" s="15" t="n">
        <v>19</v>
      </c>
      <c r="K374" s="15" t="str"/>
      <c r="L374" s="15" t="inlineStr">
        <is>
          <t>是</t>
        </is>
      </c>
      <c r="M374" s="15" t="str"/>
      <c r="N374" s="15" t="str"/>
      <c r="O374" s="15" t="str"/>
      <c r="P374" s="15" t="inlineStr">
        <is>
          <t>是</t>
        </is>
      </c>
      <c r="Q374" s="15" t="str"/>
      <c r="R374" s="15" t="inlineStr">
        <is>
          <t>是</t>
        </is>
      </c>
      <c r="S374" s="15" t="n">
        <v>3225</v>
      </c>
      <c r="T374" s="15" t="inlineStr">
        <is>
          <t>Frontend; Backend/API; Mobile; Data/Database; Cloud/DevOps</t>
        </is>
      </c>
      <c r="U374" s="15" t="inlineStr">
        <is>
          <t>Healthcare; Technology; Education/Research</t>
        </is>
      </c>
      <c r="V374" s="15" t="inlineStr">
        <is>
          <t>C:\Workspace\java\scrape_indeed\soft_dav_part_1\84.html#23690</t>
        </is>
      </c>
    </row>
    <row r="375">
      <c r="A375" s="2">
        <f>IF(COUNTIF('Sample 20'!$B$2:$B$21,B375)&gt;0,"是","")</f>
        <v/>
      </c>
      <c r="B375" s="2" t="inlineStr">
        <is>
          <t>23261</t>
        </is>
      </c>
      <c r="C375" s="15" t="inlineStr">
        <is>
          <t>Software Developer</t>
        </is>
      </c>
      <c r="D375" s="15">
        <f>IF(E375&gt;='Scoring Rules'!$B$3,"强",IF(E375&gt;='Scoring Rules'!$B$4,"中","弱"))</f>
        <v/>
      </c>
      <c r="E375" s="125">
        <f>MIN(100,H375+IF(I375&gt;=5,'Scoring Rules'!$B$16,IF(I375&gt;=3,'Scoring Rules'!$B$17,IF(I375&gt;=1,'Scoring Rules'!$B$18,'Scoring Rules'!$B$19)))+IF(L375="是",'Scoring Rules'!$B$22,0)+MIN(J375*'Scoring Rules'!$B$23,'Scoring Rules'!$B$24)+IF(M375="是",'Scoring Rules'!$B$25,0)+MIN((IF(K375="",0,LEN(K375)-LEN(SUBSTITUTE(K375,";",""))+1))*'Scoring Rules'!$B$26,'Scoring Rules'!$B$27)+IF(N375="是",'Scoring Rules'!$B$28,0)+IF(O375="是",'Scoring Rules'!$B$29,0)+IF(P375="是",'Scoring Rules'!$B$30,0)+IF(Q375="是",'Scoring Rules'!$B$31,0)+IF(R375="是",'Scoring Rules'!$B$32,0)+IF(S375&gt;=8000,'Scoring Rules'!$B$35,IF(S375&gt;=4000,'Scoring Rules'!$B$36,IF(S375&gt;=2000,'Scoring Rules'!$B$37,'Scoring Rules'!$B$38))))</f>
        <v/>
      </c>
      <c r="F375" s="15" t="inlineStr">
        <is>
          <t>Standard</t>
        </is>
      </c>
      <c r="G375" s="15" t="inlineStr">
        <is>
          <t>Unspecified</t>
        </is>
      </c>
      <c r="H375" s="15" t="n">
        <v>2</v>
      </c>
      <c r="I375" s="15" t="n">
        <v>2</v>
      </c>
      <c r="J375" s="15" t="n">
        <v>19</v>
      </c>
      <c r="K375" s="15" t="str"/>
      <c r="L375" s="15" t="inlineStr">
        <is>
          <t>是</t>
        </is>
      </c>
      <c r="M375" s="15" t="inlineStr">
        <is>
          <t>是</t>
        </is>
      </c>
      <c r="N375" s="15" t="str"/>
      <c r="O375" s="15" t="str"/>
      <c r="P375" s="15" t="str"/>
      <c r="Q375" s="15" t="str"/>
      <c r="R375" s="15" t="inlineStr">
        <is>
          <t>是</t>
        </is>
      </c>
      <c r="S375" s="15" t="n">
        <v>1956</v>
      </c>
      <c r="T375" s="15" t="inlineStr">
        <is>
          <t>Frontend; Backend/API; Mobile; Data/Database; Cloud/DevOps</t>
        </is>
      </c>
      <c r="U375" s="15" t="inlineStr">
        <is>
          <t>Technology; Education/Research</t>
        </is>
      </c>
      <c r="V375" s="15" t="inlineStr">
        <is>
          <t>C:\Workspace\java\scrape_indeed\soft_dav_part_1\842.html#23693</t>
        </is>
      </c>
    </row>
    <row r="376">
      <c r="A376" s="2">
        <f>IF(COUNTIF('Sample 20'!$B$2:$B$21,B376)&gt;0,"是","")</f>
        <v/>
      </c>
      <c r="B376" s="2" t="inlineStr">
        <is>
          <t>23262</t>
        </is>
      </c>
      <c r="C376" s="15" t="inlineStr">
        <is>
          <t>Software Developer</t>
        </is>
      </c>
      <c r="D376" s="15">
        <f>IF(E376&gt;='Scoring Rules'!$B$3,"强",IF(E376&gt;='Scoring Rules'!$B$4,"中","弱"))</f>
        <v/>
      </c>
      <c r="E376" s="125">
        <f>MIN(100,H376+IF(I376&gt;=5,'Scoring Rules'!$B$16,IF(I376&gt;=3,'Scoring Rules'!$B$17,IF(I376&gt;=1,'Scoring Rules'!$B$18,'Scoring Rules'!$B$19)))+IF(L376="是",'Scoring Rules'!$B$22,0)+MIN(J376*'Scoring Rules'!$B$23,'Scoring Rules'!$B$24)+IF(M376="是",'Scoring Rules'!$B$25,0)+MIN((IF(K376="",0,LEN(K376)-LEN(SUBSTITUTE(K376,";",""))+1))*'Scoring Rules'!$B$26,'Scoring Rules'!$B$27)+IF(N376="是",'Scoring Rules'!$B$28,0)+IF(O376="是",'Scoring Rules'!$B$29,0)+IF(P376="是",'Scoring Rules'!$B$30,0)+IF(Q376="是",'Scoring Rules'!$B$31,0)+IF(R376="是",'Scoring Rules'!$B$32,0)+IF(S376&gt;=8000,'Scoring Rules'!$B$35,IF(S376&gt;=4000,'Scoring Rules'!$B$36,IF(S376&gt;=2000,'Scoring Rules'!$B$37,'Scoring Rules'!$B$38))))</f>
        <v/>
      </c>
      <c r="F376" s="15" t="inlineStr">
        <is>
          <t>Standard</t>
        </is>
      </c>
      <c r="G376" s="15" t="inlineStr">
        <is>
          <t>Bachelor</t>
        </is>
      </c>
      <c r="H376" s="15" t="n">
        <v>12</v>
      </c>
      <c r="I376" s="15" t="n">
        <v>2</v>
      </c>
      <c r="J376" s="15" t="n">
        <v>8</v>
      </c>
      <c r="K376" s="15" t="str"/>
      <c r="L376" s="15" t="inlineStr">
        <is>
          <t>是</t>
        </is>
      </c>
      <c r="M376" s="15" t="str"/>
      <c r="N376" s="15" t="str"/>
      <c r="O376" s="15" t="str"/>
      <c r="P376" s="15" t="str"/>
      <c r="Q376" s="15" t="str"/>
      <c r="R376" s="15" t="inlineStr">
        <is>
          <t>是</t>
        </is>
      </c>
      <c r="S376" s="15" t="n">
        <v>1820</v>
      </c>
      <c r="T376" s="15" t="inlineStr">
        <is>
          <t>Backend/API; Mobile; Data/Database; Embedded/Systems</t>
        </is>
      </c>
      <c r="U376" s="15" t="inlineStr">
        <is>
          <t>Technology; Education/Research</t>
        </is>
      </c>
      <c r="V376" s="15" t="inlineStr">
        <is>
          <t>C:\Workspace\java\scrape_indeed\soft_dav_part_1\843.html#23694</t>
        </is>
      </c>
    </row>
    <row r="377">
      <c r="A377" s="2">
        <f>IF(COUNTIF('Sample 20'!$B$2:$B$21,B377)&gt;0,"是","")</f>
        <v/>
      </c>
      <c r="B377" s="2" t="inlineStr">
        <is>
          <t>23270</t>
        </is>
      </c>
      <c r="C377" s="15" t="inlineStr">
        <is>
          <t>Software Developer</t>
        </is>
      </c>
      <c r="D377" s="15">
        <f>IF(E377&gt;='Scoring Rules'!$B$3,"强",IF(E377&gt;='Scoring Rules'!$B$4,"中","弱"))</f>
        <v/>
      </c>
      <c r="E377" s="125">
        <f>MIN(100,H377+IF(I377&gt;=5,'Scoring Rules'!$B$16,IF(I377&gt;=3,'Scoring Rules'!$B$17,IF(I377&gt;=1,'Scoring Rules'!$B$18,'Scoring Rules'!$B$19)))+IF(L377="是",'Scoring Rules'!$B$22,0)+MIN(J377*'Scoring Rules'!$B$23,'Scoring Rules'!$B$24)+IF(M377="是",'Scoring Rules'!$B$25,0)+MIN((IF(K377="",0,LEN(K377)-LEN(SUBSTITUTE(K377,";",""))+1))*'Scoring Rules'!$B$26,'Scoring Rules'!$B$27)+IF(N377="是",'Scoring Rules'!$B$28,0)+IF(O377="是",'Scoring Rules'!$B$29,0)+IF(P377="是",'Scoring Rules'!$B$30,0)+IF(Q377="是",'Scoring Rules'!$B$31,0)+IF(R377="是",'Scoring Rules'!$B$32,0)+IF(S377&gt;=8000,'Scoring Rules'!$B$35,IF(S377&gt;=4000,'Scoring Rules'!$B$36,IF(S377&gt;=2000,'Scoring Rules'!$B$37,'Scoring Rules'!$B$38))))</f>
        <v/>
      </c>
      <c r="F377" s="15" t="inlineStr">
        <is>
          <t>Standard</t>
        </is>
      </c>
      <c r="G377" s="15" t="inlineStr">
        <is>
          <t>Bachelor</t>
        </is>
      </c>
      <c r="H377" s="15" t="n">
        <v>12</v>
      </c>
      <c r="I377" s="15" t="n">
        <v>3</v>
      </c>
      <c r="J377" s="15" t="n">
        <v>18</v>
      </c>
      <c r="K377" s="15" t="str"/>
      <c r="L377" s="15" t="str"/>
      <c r="M377" s="15" t="str"/>
      <c r="N377" s="15" t="str"/>
      <c r="O377" s="15" t="inlineStr">
        <is>
          <t>是</t>
        </is>
      </c>
      <c r="P377" s="15" t="inlineStr">
        <is>
          <t>是</t>
        </is>
      </c>
      <c r="Q377" s="15" t="str"/>
      <c r="R377" s="15" t="inlineStr">
        <is>
          <t>是</t>
        </is>
      </c>
      <c r="S377" s="15" t="n">
        <v>8504</v>
      </c>
      <c r="T377" s="15" t="inlineStr">
        <is>
          <t>Frontend; Backend/API; Mobile; Data/Database; Embedded/Systems; Testing/Automation</t>
        </is>
      </c>
      <c r="U377" s="15" t="inlineStr">
        <is>
          <t>Technology; Education/Research; Manufacturing/Automotive</t>
        </is>
      </c>
      <c r="V377" s="15" t="inlineStr">
        <is>
          <t>C:\Workspace\java\scrape_indeed\soft_dav_part_1\850.html#23702</t>
        </is>
      </c>
    </row>
    <row r="378">
      <c r="A378" s="2">
        <f>IF(COUNTIF('Sample 20'!$B$2:$B$21,B378)&gt;0,"是","")</f>
        <v/>
      </c>
      <c r="B378" s="2" t="inlineStr">
        <is>
          <t>23272</t>
        </is>
      </c>
      <c r="C378" s="15" t="inlineStr">
        <is>
          <t>Software Developer</t>
        </is>
      </c>
      <c r="D378" s="15">
        <f>IF(E378&gt;='Scoring Rules'!$B$3,"强",IF(E378&gt;='Scoring Rules'!$B$4,"中","弱"))</f>
        <v/>
      </c>
      <c r="E378" s="125">
        <f>MIN(100,H378+IF(I378&gt;=5,'Scoring Rules'!$B$16,IF(I378&gt;=3,'Scoring Rules'!$B$17,IF(I378&gt;=1,'Scoring Rules'!$B$18,'Scoring Rules'!$B$19)))+IF(L378="是",'Scoring Rules'!$B$22,0)+MIN(J378*'Scoring Rules'!$B$23,'Scoring Rules'!$B$24)+IF(M378="是",'Scoring Rules'!$B$25,0)+MIN((IF(K378="",0,LEN(K378)-LEN(SUBSTITUTE(K378,";",""))+1))*'Scoring Rules'!$B$26,'Scoring Rules'!$B$27)+IF(N378="是",'Scoring Rules'!$B$28,0)+IF(O378="是",'Scoring Rules'!$B$29,0)+IF(P378="是",'Scoring Rules'!$B$30,0)+IF(Q378="是",'Scoring Rules'!$B$31,0)+IF(R378="是",'Scoring Rules'!$B$32,0)+IF(S378&gt;=8000,'Scoring Rules'!$B$35,IF(S378&gt;=4000,'Scoring Rules'!$B$36,IF(S378&gt;=2000,'Scoring Rules'!$B$37,'Scoring Rules'!$B$38))))</f>
        <v/>
      </c>
      <c r="F378" s="15" t="inlineStr">
        <is>
          <t>Standard</t>
        </is>
      </c>
      <c r="G378" s="15" t="inlineStr">
        <is>
          <t>Bachelor</t>
        </is>
      </c>
      <c r="H378" s="15" t="n">
        <v>12</v>
      </c>
      <c r="I378" s="15" t="n">
        <v>2</v>
      </c>
      <c r="J378" s="15" t="n">
        <v>15</v>
      </c>
      <c r="K378" s="15" t="str"/>
      <c r="L378" s="15" t="str"/>
      <c r="M378" s="15" t="str"/>
      <c r="N378" s="15" t="str"/>
      <c r="O378" s="15" t="str"/>
      <c r="P378" s="15" t="str"/>
      <c r="Q378" s="15" t="inlineStr">
        <is>
          <t>是</t>
        </is>
      </c>
      <c r="R378" s="15" t="str"/>
      <c r="S378" s="15" t="n">
        <v>2657</v>
      </c>
      <c r="T378" s="15" t="inlineStr">
        <is>
          <t>Frontend; Backend/API; Data/Database</t>
        </is>
      </c>
      <c r="U378" s="15" t="inlineStr">
        <is>
          <t>Technology; Retail/E-commerce</t>
        </is>
      </c>
      <c r="V378" s="15" t="inlineStr">
        <is>
          <t>C:\Workspace\java\scrape_indeed\soft_dav_part_1\852.html#23704</t>
        </is>
      </c>
    </row>
    <row r="379">
      <c r="A379" s="2">
        <f>IF(COUNTIF('Sample 20'!$B$2:$B$21,B379)&gt;0,"是","")</f>
        <v/>
      </c>
      <c r="B379" s="2" t="inlineStr">
        <is>
          <t>23286</t>
        </is>
      </c>
      <c r="C379" s="15" t="inlineStr">
        <is>
          <t>Software Developer</t>
        </is>
      </c>
      <c r="D379" s="15">
        <f>IF(E379&gt;='Scoring Rules'!$B$3,"强",IF(E379&gt;='Scoring Rules'!$B$4,"中","弱"))</f>
        <v/>
      </c>
      <c r="E379" s="125">
        <f>MIN(100,H379+IF(I379&gt;=5,'Scoring Rules'!$B$16,IF(I379&gt;=3,'Scoring Rules'!$B$17,IF(I379&gt;=1,'Scoring Rules'!$B$18,'Scoring Rules'!$B$19)))+IF(L379="是",'Scoring Rules'!$B$22,0)+MIN(J379*'Scoring Rules'!$B$23,'Scoring Rules'!$B$24)+IF(M379="是",'Scoring Rules'!$B$25,0)+MIN((IF(K379="",0,LEN(K379)-LEN(SUBSTITUTE(K379,";",""))+1))*'Scoring Rules'!$B$26,'Scoring Rules'!$B$27)+IF(N379="是",'Scoring Rules'!$B$28,0)+IF(O379="是",'Scoring Rules'!$B$29,0)+IF(P379="是",'Scoring Rules'!$B$30,0)+IF(Q379="是",'Scoring Rules'!$B$31,0)+IF(R379="是",'Scoring Rules'!$B$32,0)+IF(S379&gt;=8000,'Scoring Rules'!$B$35,IF(S379&gt;=4000,'Scoring Rules'!$B$36,IF(S379&gt;=2000,'Scoring Rules'!$B$37,'Scoring Rules'!$B$38))))</f>
        <v/>
      </c>
      <c r="F379" s="15" t="inlineStr">
        <is>
          <t>Standard</t>
        </is>
      </c>
      <c r="G379" s="15" t="inlineStr">
        <is>
          <t>Unspecified</t>
        </is>
      </c>
      <c r="H379" s="15" t="n">
        <v>2</v>
      </c>
      <c r="I379" s="15" t="n">
        <v>2</v>
      </c>
      <c r="J379" s="15" t="n">
        <v>15</v>
      </c>
      <c r="K379" s="15" t="str"/>
      <c r="L379" s="15" t="inlineStr">
        <is>
          <t>是</t>
        </is>
      </c>
      <c r="M379" s="15" t="str"/>
      <c r="N379" s="15" t="str"/>
      <c r="O379" s="15" t="str"/>
      <c r="P379" s="15" t="inlineStr">
        <is>
          <t>是</t>
        </is>
      </c>
      <c r="Q379" s="15" t="inlineStr">
        <is>
          <t>是</t>
        </is>
      </c>
      <c r="R379" s="15" t="inlineStr">
        <is>
          <t>是</t>
        </is>
      </c>
      <c r="S379" s="15" t="n">
        <v>1589</v>
      </c>
      <c r="T379" s="15" t="inlineStr">
        <is>
          <t>Frontend; Backend/API; Data/Database</t>
        </is>
      </c>
      <c r="U379" s="15" t="inlineStr">
        <is>
          <t>Technology; Education/Research</t>
        </is>
      </c>
      <c r="V379" s="15" t="inlineStr">
        <is>
          <t>C:\Workspace\java\scrape_indeed\soft_dav_part_1\865.html#23718</t>
        </is>
      </c>
    </row>
    <row r="380">
      <c r="A380" s="2">
        <f>IF(COUNTIF('Sample 20'!$B$2:$B$21,B380)&gt;0,"是","")</f>
        <v/>
      </c>
      <c r="B380" s="2" t="inlineStr">
        <is>
          <t>23295</t>
        </is>
      </c>
      <c r="C380" s="15" t="inlineStr">
        <is>
          <t>Software Developer</t>
        </is>
      </c>
      <c r="D380" s="15">
        <f>IF(E380&gt;='Scoring Rules'!$B$3,"强",IF(E380&gt;='Scoring Rules'!$B$4,"中","弱"))</f>
        <v/>
      </c>
      <c r="E380" s="125">
        <f>MIN(100,H380+IF(I380&gt;=5,'Scoring Rules'!$B$16,IF(I380&gt;=3,'Scoring Rules'!$B$17,IF(I380&gt;=1,'Scoring Rules'!$B$18,'Scoring Rules'!$B$19)))+IF(L380="是",'Scoring Rules'!$B$22,0)+MIN(J380*'Scoring Rules'!$B$23,'Scoring Rules'!$B$24)+IF(M380="是",'Scoring Rules'!$B$25,0)+MIN((IF(K380="",0,LEN(K380)-LEN(SUBSTITUTE(K380,";",""))+1))*'Scoring Rules'!$B$26,'Scoring Rules'!$B$27)+IF(N380="是",'Scoring Rules'!$B$28,0)+IF(O380="是",'Scoring Rules'!$B$29,0)+IF(P380="是",'Scoring Rules'!$B$30,0)+IF(Q380="是",'Scoring Rules'!$B$31,0)+IF(R380="是",'Scoring Rules'!$B$32,0)+IF(S380&gt;=8000,'Scoring Rules'!$B$35,IF(S380&gt;=4000,'Scoring Rules'!$B$36,IF(S380&gt;=2000,'Scoring Rules'!$B$37,'Scoring Rules'!$B$38))))</f>
        <v/>
      </c>
      <c r="F380" s="15" t="inlineStr">
        <is>
          <t>Standard</t>
        </is>
      </c>
      <c r="G380" s="15" t="inlineStr">
        <is>
          <t>Master</t>
        </is>
      </c>
      <c r="H380" s="15" t="n">
        <v>16</v>
      </c>
      <c r="I380" s="15" t="n">
        <v>3</v>
      </c>
      <c r="J380" s="15" t="n">
        <v>14</v>
      </c>
      <c r="K380" s="15" t="inlineStr">
        <is>
          <t>ITIL</t>
        </is>
      </c>
      <c r="L380" s="15" t="inlineStr">
        <is>
          <t>是</t>
        </is>
      </c>
      <c r="M380" s="15" t="str"/>
      <c r="N380" s="15" t="str"/>
      <c r="O380" s="15" t="inlineStr">
        <is>
          <t>是</t>
        </is>
      </c>
      <c r="P380" s="15" t="str"/>
      <c r="Q380" s="15" t="inlineStr">
        <is>
          <t>是</t>
        </is>
      </c>
      <c r="R380" s="15" t="inlineStr">
        <is>
          <t>是</t>
        </is>
      </c>
      <c r="S380" s="15" t="n">
        <v>10928</v>
      </c>
      <c r="T380" s="15" t="inlineStr">
        <is>
          <t>Frontend; Backend/API; Mobile; Data/Database; Embedded/Systems</t>
        </is>
      </c>
      <c r="U380" s="15" t="inlineStr">
        <is>
          <t>Finance/Banking; Technology; Consulting; Education/Research</t>
        </is>
      </c>
      <c r="V380" s="15" t="inlineStr">
        <is>
          <t>C:\Workspace\java\scrape_indeed\soft_dav_part_1\875.html#23729</t>
        </is>
      </c>
    </row>
    <row r="381">
      <c r="A381" s="2">
        <f>IF(COUNTIF('Sample 20'!$B$2:$B$21,B381)&gt;0,"是","")</f>
        <v/>
      </c>
      <c r="B381" s="2" t="inlineStr">
        <is>
          <t>23298</t>
        </is>
      </c>
      <c r="C381" s="15" t="inlineStr">
        <is>
          <t>Software Developer</t>
        </is>
      </c>
      <c r="D381" s="15">
        <f>IF(E381&gt;='Scoring Rules'!$B$3,"强",IF(E381&gt;='Scoring Rules'!$B$4,"中","弱"))</f>
        <v/>
      </c>
      <c r="E381" s="125">
        <f>MIN(100,H381+IF(I381&gt;=5,'Scoring Rules'!$B$16,IF(I381&gt;=3,'Scoring Rules'!$B$17,IF(I381&gt;=1,'Scoring Rules'!$B$18,'Scoring Rules'!$B$19)))+IF(L381="是",'Scoring Rules'!$B$22,0)+MIN(J381*'Scoring Rules'!$B$23,'Scoring Rules'!$B$24)+IF(M381="是",'Scoring Rules'!$B$25,0)+MIN((IF(K381="",0,LEN(K381)-LEN(SUBSTITUTE(K381,";",""))+1))*'Scoring Rules'!$B$26,'Scoring Rules'!$B$27)+IF(N381="是",'Scoring Rules'!$B$28,0)+IF(O381="是",'Scoring Rules'!$B$29,0)+IF(P381="是",'Scoring Rules'!$B$30,0)+IF(Q381="是",'Scoring Rules'!$B$31,0)+IF(R381="是",'Scoring Rules'!$B$32,0)+IF(S381&gt;=8000,'Scoring Rules'!$B$35,IF(S381&gt;=4000,'Scoring Rules'!$B$36,IF(S381&gt;=2000,'Scoring Rules'!$B$37,'Scoring Rules'!$B$38))))</f>
        <v/>
      </c>
      <c r="F381" s="15" t="inlineStr">
        <is>
          <t>Standard</t>
        </is>
      </c>
      <c r="G381" s="15" t="inlineStr">
        <is>
          <t>Bachelor</t>
        </is>
      </c>
      <c r="H381" s="15" t="n">
        <v>12</v>
      </c>
      <c r="I381" s="15" t="n">
        <v>4</v>
      </c>
      <c r="J381" s="15" t="n">
        <v>9</v>
      </c>
      <c r="K381" s="15" t="str"/>
      <c r="L381" s="15" t="inlineStr">
        <is>
          <t>是</t>
        </is>
      </c>
      <c r="M381" s="15" t="str"/>
      <c r="N381" s="15" t="str"/>
      <c r="O381" s="15" t="str"/>
      <c r="P381" s="15" t="str"/>
      <c r="Q381" s="15" t="inlineStr">
        <is>
          <t>是</t>
        </is>
      </c>
      <c r="R381" s="15" t="inlineStr">
        <is>
          <t>是</t>
        </is>
      </c>
      <c r="S381" s="15" t="n">
        <v>2061</v>
      </c>
      <c r="T381" s="15" t="inlineStr">
        <is>
          <t>Frontend; Backend/API; Data/Database</t>
        </is>
      </c>
      <c r="U381" s="15" t="inlineStr">
        <is>
          <t>Healthcare; Technology; Education/Research</t>
        </is>
      </c>
      <c r="V381" s="15" t="inlineStr">
        <is>
          <t>C:\Workspace\java\scrape_indeed\soft_dav_part_1\878.html#23732</t>
        </is>
      </c>
    </row>
    <row r="382">
      <c r="A382" s="2">
        <f>IF(COUNTIF('Sample 20'!$B$2:$B$21,B382)&gt;0,"是","")</f>
        <v/>
      </c>
      <c r="B382" s="2" t="inlineStr">
        <is>
          <t>23309</t>
        </is>
      </c>
      <c r="C382" s="15" t="inlineStr">
        <is>
          <t>Software Developer</t>
        </is>
      </c>
      <c r="D382" s="15">
        <f>IF(E382&gt;='Scoring Rules'!$B$3,"强",IF(E382&gt;='Scoring Rules'!$B$4,"中","弱"))</f>
        <v/>
      </c>
      <c r="E382" s="125">
        <f>MIN(100,H382+IF(I382&gt;=5,'Scoring Rules'!$B$16,IF(I382&gt;=3,'Scoring Rules'!$B$17,IF(I382&gt;=1,'Scoring Rules'!$B$18,'Scoring Rules'!$B$19)))+IF(L382="是",'Scoring Rules'!$B$22,0)+MIN(J382*'Scoring Rules'!$B$23,'Scoring Rules'!$B$24)+IF(M382="是",'Scoring Rules'!$B$25,0)+MIN((IF(K382="",0,LEN(K382)-LEN(SUBSTITUTE(K382,";",""))+1))*'Scoring Rules'!$B$26,'Scoring Rules'!$B$27)+IF(N382="是",'Scoring Rules'!$B$28,0)+IF(O382="是",'Scoring Rules'!$B$29,0)+IF(P382="是",'Scoring Rules'!$B$30,0)+IF(Q382="是",'Scoring Rules'!$B$31,0)+IF(R382="是",'Scoring Rules'!$B$32,0)+IF(S382&gt;=8000,'Scoring Rules'!$B$35,IF(S382&gt;=4000,'Scoring Rules'!$B$36,IF(S382&gt;=2000,'Scoring Rules'!$B$37,'Scoring Rules'!$B$38))))</f>
        <v/>
      </c>
      <c r="F382" s="15" t="inlineStr">
        <is>
          <t>Standard</t>
        </is>
      </c>
      <c r="G382" s="15" t="inlineStr">
        <is>
          <t>Bachelor</t>
        </is>
      </c>
      <c r="H382" s="15" t="n">
        <v>12</v>
      </c>
      <c r="I382" s="15" t="n">
        <v>2</v>
      </c>
      <c r="J382" s="15" t="n">
        <v>5</v>
      </c>
      <c r="K382" s="15" t="str"/>
      <c r="L382" s="15" t="inlineStr">
        <is>
          <t>是</t>
        </is>
      </c>
      <c r="M382" s="15" t="str"/>
      <c r="N382" s="15" t="str"/>
      <c r="O382" s="15" t="str"/>
      <c r="P382" s="15" t="str"/>
      <c r="Q382" s="15" t="str"/>
      <c r="R382" s="15" t="str"/>
      <c r="S382" s="15" t="n">
        <v>2464</v>
      </c>
      <c r="T382" s="15" t="inlineStr">
        <is>
          <t>Frontend; Data/Database</t>
        </is>
      </c>
      <c r="U382" s="15" t="inlineStr">
        <is>
          <t>Healthcare; Government/Defense; Technology; Education/Research</t>
        </is>
      </c>
      <c r="V382" s="15" t="inlineStr">
        <is>
          <t>C:\Workspace\java\scrape_indeed\soft_dav_part_1\888.html#23743</t>
        </is>
      </c>
    </row>
    <row r="383">
      <c r="A383" s="2">
        <f>IF(COUNTIF('Sample 20'!$B$2:$B$21,B383)&gt;0,"是","")</f>
        <v/>
      </c>
      <c r="B383" s="2" t="inlineStr">
        <is>
          <t>23322</t>
        </is>
      </c>
      <c r="C383" s="15" t="inlineStr">
        <is>
          <t>Software Developer</t>
        </is>
      </c>
      <c r="D383" s="15">
        <f>IF(E383&gt;='Scoring Rules'!$B$3,"强",IF(E383&gt;='Scoring Rules'!$B$4,"中","弱"))</f>
        <v/>
      </c>
      <c r="E383" s="125">
        <f>MIN(100,H383+IF(I383&gt;=5,'Scoring Rules'!$B$16,IF(I383&gt;=3,'Scoring Rules'!$B$17,IF(I383&gt;=1,'Scoring Rules'!$B$18,'Scoring Rules'!$B$19)))+IF(L383="是",'Scoring Rules'!$B$22,0)+MIN(J383*'Scoring Rules'!$B$23,'Scoring Rules'!$B$24)+IF(M383="是",'Scoring Rules'!$B$25,0)+MIN((IF(K383="",0,LEN(K383)-LEN(SUBSTITUTE(K383,";",""))+1))*'Scoring Rules'!$B$26,'Scoring Rules'!$B$27)+IF(N383="是",'Scoring Rules'!$B$28,0)+IF(O383="是",'Scoring Rules'!$B$29,0)+IF(P383="是",'Scoring Rules'!$B$30,0)+IF(Q383="是",'Scoring Rules'!$B$31,0)+IF(R383="是",'Scoring Rules'!$B$32,0)+IF(S383&gt;=8000,'Scoring Rules'!$B$35,IF(S383&gt;=4000,'Scoring Rules'!$B$36,IF(S383&gt;=2000,'Scoring Rules'!$B$37,'Scoring Rules'!$B$38))))</f>
        <v/>
      </c>
      <c r="F383" s="15" t="inlineStr">
        <is>
          <t>Standard</t>
        </is>
      </c>
      <c r="G383" s="15" t="inlineStr">
        <is>
          <t>Unspecified</t>
        </is>
      </c>
      <c r="H383" s="15" t="n">
        <v>2</v>
      </c>
      <c r="I383" s="15" t="n">
        <v>1</v>
      </c>
      <c r="J383" s="15" t="n">
        <v>5</v>
      </c>
      <c r="K383" s="15" t="str"/>
      <c r="L383" s="15" t="inlineStr">
        <is>
          <t>是</t>
        </is>
      </c>
      <c r="M383" s="15" t="str"/>
      <c r="N383" s="15" t="str"/>
      <c r="O383" s="15" t="str"/>
      <c r="P383" s="15" t="str"/>
      <c r="Q383" s="15" t="str"/>
      <c r="R383" s="15" t="inlineStr">
        <is>
          <t>是</t>
        </is>
      </c>
      <c r="S383" s="15" t="n">
        <v>1774</v>
      </c>
      <c r="T383" s="15" t="inlineStr">
        <is>
          <t>Backend/API; Data/Database; Embedded/Systems</t>
        </is>
      </c>
      <c r="U383" s="15" t="inlineStr">
        <is>
          <t>Finance/Banking; Technology; Education/Research</t>
        </is>
      </c>
      <c r="V383" s="15" t="inlineStr">
        <is>
          <t>C:\Workspace\java\scrape_indeed\soft_dav_part_1\9.html#23756</t>
        </is>
      </c>
    </row>
    <row r="384">
      <c r="A384" s="2">
        <f>IF(COUNTIF('Sample 20'!$B$2:$B$21,B384)&gt;0,"是","")</f>
        <v/>
      </c>
      <c r="B384" s="2" t="inlineStr">
        <is>
          <t>23323</t>
        </is>
      </c>
      <c r="C384" s="15" t="inlineStr">
        <is>
          <t>Software Developer</t>
        </is>
      </c>
      <c r="D384" s="15">
        <f>IF(E384&gt;='Scoring Rules'!$B$3,"强",IF(E384&gt;='Scoring Rules'!$B$4,"中","弱"))</f>
        <v/>
      </c>
      <c r="E384" s="125">
        <f>MIN(100,H384+IF(I384&gt;=5,'Scoring Rules'!$B$16,IF(I384&gt;=3,'Scoring Rules'!$B$17,IF(I384&gt;=1,'Scoring Rules'!$B$18,'Scoring Rules'!$B$19)))+IF(L384="是",'Scoring Rules'!$B$22,0)+MIN(J384*'Scoring Rules'!$B$23,'Scoring Rules'!$B$24)+IF(M384="是",'Scoring Rules'!$B$25,0)+MIN((IF(K384="",0,LEN(K384)-LEN(SUBSTITUTE(K384,";",""))+1))*'Scoring Rules'!$B$26,'Scoring Rules'!$B$27)+IF(N384="是",'Scoring Rules'!$B$28,0)+IF(O384="是",'Scoring Rules'!$B$29,0)+IF(P384="是",'Scoring Rules'!$B$30,0)+IF(Q384="是",'Scoring Rules'!$B$31,0)+IF(R384="是",'Scoring Rules'!$B$32,0)+IF(S384&gt;=8000,'Scoring Rules'!$B$35,IF(S384&gt;=4000,'Scoring Rules'!$B$36,IF(S384&gt;=2000,'Scoring Rules'!$B$37,'Scoring Rules'!$B$38))))</f>
        <v/>
      </c>
      <c r="F384" s="15" t="inlineStr">
        <is>
          <t>Standard</t>
        </is>
      </c>
      <c r="G384" s="15" t="inlineStr">
        <is>
          <t>Bachelor</t>
        </is>
      </c>
      <c r="H384" s="15" t="n">
        <v>12</v>
      </c>
      <c r="I384" s="15" t="n">
        <v>3</v>
      </c>
      <c r="J384" s="15" t="n">
        <v>7</v>
      </c>
      <c r="K384" s="15" t="str"/>
      <c r="L384" s="15" t="inlineStr">
        <is>
          <t>是</t>
        </is>
      </c>
      <c r="M384" s="15" t="str"/>
      <c r="N384" s="15" t="str"/>
      <c r="O384" s="15" t="str"/>
      <c r="P384" s="15" t="str"/>
      <c r="Q384" s="15" t="str"/>
      <c r="R384" s="15" t="inlineStr">
        <is>
          <t>是</t>
        </is>
      </c>
      <c r="S384" s="15" t="n">
        <v>1236</v>
      </c>
      <c r="T384" s="15" t="inlineStr">
        <is>
          <t>Frontend; Data/Database</t>
        </is>
      </c>
      <c r="U384" s="15" t="inlineStr">
        <is>
          <t>Technology; Education/Research</t>
        </is>
      </c>
      <c r="V384" s="15" t="inlineStr">
        <is>
          <t>C:\Workspace\java\scrape_indeed\soft_dav_part_1\90.html#23757</t>
        </is>
      </c>
    </row>
    <row r="385">
      <c r="A385" s="2">
        <f>IF(COUNTIF('Sample 20'!$B$2:$B$21,B385)&gt;0,"是","")</f>
        <v/>
      </c>
      <c r="B385" s="2" t="inlineStr">
        <is>
          <t>23333</t>
        </is>
      </c>
      <c r="C385" s="15" t="inlineStr">
        <is>
          <t>Software developer</t>
        </is>
      </c>
      <c r="D385" s="15">
        <f>IF(E385&gt;='Scoring Rules'!$B$3,"强",IF(E385&gt;='Scoring Rules'!$B$4,"中","弱"))</f>
        <v/>
      </c>
      <c r="E385" s="125">
        <f>MIN(100,H385+IF(I385&gt;=5,'Scoring Rules'!$B$16,IF(I385&gt;=3,'Scoring Rules'!$B$17,IF(I385&gt;=1,'Scoring Rules'!$B$18,'Scoring Rules'!$B$19)))+IF(L385="是",'Scoring Rules'!$B$22,0)+MIN(J385*'Scoring Rules'!$B$23,'Scoring Rules'!$B$24)+IF(M385="是",'Scoring Rules'!$B$25,0)+MIN((IF(K385="",0,LEN(K385)-LEN(SUBSTITUTE(K385,";",""))+1))*'Scoring Rules'!$B$26,'Scoring Rules'!$B$27)+IF(N385="是",'Scoring Rules'!$B$28,0)+IF(O385="是",'Scoring Rules'!$B$29,0)+IF(P385="是",'Scoring Rules'!$B$30,0)+IF(Q385="是",'Scoring Rules'!$B$31,0)+IF(R385="是",'Scoring Rules'!$B$32,0)+IF(S385&gt;=8000,'Scoring Rules'!$B$35,IF(S385&gt;=4000,'Scoring Rules'!$B$36,IF(S385&gt;=2000,'Scoring Rules'!$B$37,'Scoring Rules'!$B$38))))</f>
        <v/>
      </c>
      <c r="F385" s="15" t="inlineStr">
        <is>
          <t>Standard</t>
        </is>
      </c>
      <c r="G385" s="15" t="inlineStr">
        <is>
          <t>Master</t>
        </is>
      </c>
      <c r="H385" s="15" t="n">
        <v>16</v>
      </c>
      <c r="I385" s="15" t="n">
        <v>4</v>
      </c>
      <c r="J385" s="15" t="n">
        <v>18</v>
      </c>
      <c r="K385" s="15" t="str"/>
      <c r="L385" s="15" t="inlineStr">
        <is>
          <t>是</t>
        </is>
      </c>
      <c r="M385" s="15" t="inlineStr">
        <is>
          <t>是</t>
        </is>
      </c>
      <c r="N385" s="15" t="str"/>
      <c r="O385" s="15" t="str"/>
      <c r="P385" s="15" t="inlineStr">
        <is>
          <t>是</t>
        </is>
      </c>
      <c r="Q385" s="15" t="str"/>
      <c r="R385" s="15" t="inlineStr">
        <is>
          <t>是</t>
        </is>
      </c>
      <c r="S385" s="15" t="n">
        <v>3588</v>
      </c>
      <c r="T385" s="15" t="inlineStr">
        <is>
          <t>Frontend; Backend/API; Mobile; Data/Database; Cloud/DevOps; Testing/Automation; Machine Learning</t>
        </is>
      </c>
      <c r="U385" s="15" t="inlineStr">
        <is>
          <t>Technology; Education/Research</t>
        </is>
      </c>
      <c r="V385" s="15" t="inlineStr">
        <is>
          <t>C:\Workspace\java\scrape_indeed\soft_dav_part_1\909.html#23767</t>
        </is>
      </c>
    </row>
    <row r="386">
      <c r="A386" s="2">
        <f>IF(COUNTIF('Sample 20'!$B$2:$B$21,B386)&gt;0,"是","")</f>
        <v/>
      </c>
      <c r="B386" s="2" t="inlineStr">
        <is>
          <t>23339</t>
        </is>
      </c>
      <c r="C386" s="15" t="inlineStr">
        <is>
          <t>Software Developer</t>
        </is>
      </c>
      <c r="D386" s="15">
        <f>IF(E386&gt;='Scoring Rules'!$B$3,"强",IF(E386&gt;='Scoring Rules'!$B$4,"中","弱"))</f>
        <v/>
      </c>
      <c r="E386" s="125">
        <f>MIN(100,H386+IF(I386&gt;=5,'Scoring Rules'!$B$16,IF(I386&gt;=3,'Scoring Rules'!$B$17,IF(I386&gt;=1,'Scoring Rules'!$B$18,'Scoring Rules'!$B$19)))+IF(L386="是",'Scoring Rules'!$B$22,0)+MIN(J386*'Scoring Rules'!$B$23,'Scoring Rules'!$B$24)+IF(M386="是",'Scoring Rules'!$B$25,0)+MIN((IF(K386="",0,LEN(K386)-LEN(SUBSTITUTE(K386,";",""))+1))*'Scoring Rules'!$B$26,'Scoring Rules'!$B$27)+IF(N386="是",'Scoring Rules'!$B$28,0)+IF(O386="是",'Scoring Rules'!$B$29,0)+IF(P386="是",'Scoring Rules'!$B$30,0)+IF(Q386="是",'Scoring Rules'!$B$31,0)+IF(R386="是",'Scoring Rules'!$B$32,0)+IF(S386&gt;=8000,'Scoring Rules'!$B$35,IF(S386&gt;=4000,'Scoring Rules'!$B$36,IF(S386&gt;=2000,'Scoring Rules'!$B$37,'Scoring Rules'!$B$38))))</f>
        <v/>
      </c>
      <c r="F386" s="15" t="inlineStr">
        <is>
          <t>Standard</t>
        </is>
      </c>
      <c r="G386" s="15" t="inlineStr">
        <is>
          <t>Unspecified</t>
        </is>
      </c>
      <c r="H386" s="15" t="n">
        <v>2</v>
      </c>
      <c r="I386" s="15" t="n">
        <v>7</v>
      </c>
      <c r="J386" s="15" t="n">
        <v>12</v>
      </c>
      <c r="K386" s="15" t="str"/>
      <c r="L386" s="15" t="inlineStr">
        <is>
          <t>是</t>
        </is>
      </c>
      <c r="M386" s="15" t="str"/>
      <c r="N386" s="15" t="str"/>
      <c r="O386" s="15" t="str"/>
      <c r="P386" s="15" t="str"/>
      <c r="Q386" s="15" t="str"/>
      <c r="R386" s="15" t="str"/>
      <c r="S386" s="15" t="n">
        <v>4553</v>
      </c>
      <c r="T386" s="15" t="inlineStr">
        <is>
          <t>Frontend; Backend/API; Data/Database; Embedded/Systems</t>
        </is>
      </c>
      <c r="U386" s="15" t="inlineStr">
        <is>
          <t>Government/Defense; Technology; Education/Research; Manufacturing/Automotive</t>
        </is>
      </c>
      <c r="V386" s="15" t="inlineStr">
        <is>
          <t>C:\Workspace\java\scrape_indeed\soft_dav_part_1\915.html#23774</t>
        </is>
      </c>
    </row>
    <row r="387">
      <c r="A387" s="2">
        <f>IF(COUNTIF('Sample 20'!$B$2:$B$21,B387)&gt;0,"是","")</f>
        <v/>
      </c>
      <c r="B387" s="2" t="inlineStr">
        <is>
          <t>23348</t>
        </is>
      </c>
      <c r="C387" s="15" t="inlineStr">
        <is>
          <t>Software Developer</t>
        </is>
      </c>
      <c r="D387" s="15">
        <f>IF(E387&gt;='Scoring Rules'!$B$3,"强",IF(E387&gt;='Scoring Rules'!$B$4,"中","弱"))</f>
        <v/>
      </c>
      <c r="E387" s="125">
        <f>MIN(100,H387+IF(I387&gt;=5,'Scoring Rules'!$B$16,IF(I387&gt;=3,'Scoring Rules'!$B$17,IF(I387&gt;=1,'Scoring Rules'!$B$18,'Scoring Rules'!$B$19)))+IF(L387="是",'Scoring Rules'!$B$22,0)+MIN(J387*'Scoring Rules'!$B$23,'Scoring Rules'!$B$24)+IF(M387="是",'Scoring Rules'!$B$25,0)+MIN((IF(K387="",0,LEN(K387)-LEN(SUBSTITUTE(K387,";",""))+1))*'Scoring Rules'!$B$26,'Scoring Rules'!$B$27)+IF(N387="是",'Scoring Rules'!$B$28,0)+IF(O387="是",'Scoring Rules'!$B$29,0)+IF(P387="是",'Scoring Rules'!$B$30,0)+IF(Q387="是",'Scoring Rules'!$B$31,0)+IF(R387="是",'Scoring Rules'!$B$32,0)+IF(S387&gt;=8000,'Scoring Rules'!$B$35,IF(S387&gt;=4000,'Scoring Rules'!$B$36,IF(S387&gt;=2000,'Scoring Rules'!$B$37,'Scoring Rules'!$B$38))))</f>
        <v/>
      </c>
      <c r="F387" s="15" t="inlineStr">
        <is>
          <t>Standard</t>
        </is>
      </c>
      <c r="G387" s="15" t="inlineStr">
        <is>
          <t>Bachelor</t>
        </is>
      </c>
      <c r="H387" s="15" t="n">
        <v>12</v>
      </c>
      <c r="I387" s="15" t="n">
        <v>2</v>
      </c>
      <c r="J387" s="15" t="n">
        <v>15</v>
      </c>
      <c r="K387" s="15" t="str"/>
      <c r="L387" s="15" t="inlineStr">
        <is>
          <t>是</t>
        </is>
      </c>
      <c r="M387" s="15" t="str"/>
      <c r="N387" s="15" t="str"/>
      <c r="O387" s="15" t="str"/>
      <c r="P387" s="15" t="inlineStr">
        <is>
          <t>是</t>
        </is>
      </c>
      <c r="Q387" s="15" t="str"/>
      <c r="R387" s="15" t="inlineStr">
        <is>
          <t>是</t>
        </is>
      </c>
      <c r="S387" s="15" t="n">
        <v>2059</v>
      </c>
      <c r="T387" s="15" t="inlineStr">
        <is>
          <t>Frontend; Backend/API; Data/Database</t>
        </is>
      </c>
      <c r="U387" s="15" t="inlineStr">
        <is>
          <t>Technology</t>
        </is>
      </c>
      <c r="V387" s="15" t="inlineStr">
        <is>
          <t>C:\Workspace\java\scrape_indeed\soft_dav_part_1\923.html#23783</t>
        </is>
      </c>
    </row>
    <row r="388">
      <c r="A388" s="2">
        <f>IF(COUNTIF('Sample 20'!$B$2:$B$21,B388)&gt;0,"是","")</f>
        <v/>
      </c>
      <c r="B388" s="2" t="inlineStr">
        <is>
          <t>23355</t>
        </is>
      </c>
      <c r="C388" s="15" t="inlineStr">
        <is>
          <t>Software Developer</t>
        </is>
      </c>
      <c r="D388" s="15">
        <f>IF(E388&gt;='Scoring Rules'!$B$3,"强",IF(E388&gt;='Scoring Rules'!$B$4,"中","弱"))</f>
        <v/>
      </c>
      <c r="E388" s="125">
        <f>MIN(100,H388+IF(I388&gt;=5,'Scoring Rules'!$B$16,IF(I388&gt;=3,'Scoring Rules'!$B$17,IF(I388&gt;=1,'Scoring Rules'!$B$18,'Scoring Rules'!$B$19)))+IF(L388="是",'Scoring Rules'!$B$22,0)+MIN(J388*'Scoring Rules'!$B$23,'Scoring Rules'!$B$24)+IF(M388="是",'Scoring Rules'!$B$25,0)+MIN((IF(K388="",0,LEN(K388)-LEN(SUBSTITUTE(K388,";",""))+1))*'Scoring Rules'!$B$26,'Scoring Rules'!$B$27)+IF(N388="是",'Scoring Rules'!$B$28,0)+IF(O388="是",'Scoring Rules'!$B$29,0)+IF(P388="是",'Scoring Rules'!$B$30,0)+IF(Q388="是",'Scoring Rules'!$B$31,0)+IF(R388="是",'Scoring Rules'!$B$32,0)+IF(S388&gt;=8000,'Scoring Rules'!$B$35,IF(S388&gt;=4000,'Scoring Rules'!$B$36,IF(S388&gt;=2000,'Scoring Rules'!$B$37,'Scoring Rules'!$B$38))))</f>
        <v/>
      </c>
      <c r="F388" s="15" t="inlineStr">
        <is>
          <t>Standard</t>
        </is>
      </c>
      <c r="G388" s="15" t="inlineStr">
        <is>
          <t>Master</t>
        </is>
      </c>
      <c r="H388" s="15" t="n">
        <v>16</v>
      </c>
      <c r="I388" s="15" t="n">
        <v>4</v>
      </c>
      <c r="J388" s="15" t="n">
        <v>14</v>
      </c>
      <c r="K388" s="15" t="str"/>
      <c r="L388" s="15" t="inlineStr">
        <is>
          <t>是</t>
        </is>
      </c>
      <c r="M388" s="15" t="str"/>
      <c r="N388" s="15" t="str"/>
      <c r="O388" s="15" t="str"/>
      <c r="P388" s="15" t="str"/>
      <c r="Q388" s="15" t="inlineStr">
        <is>
          <t>是</t>
        </is>
      </c>
      <c r="R388" s="15" t="inlineStr">
        <is>
          <t>是</t>
        </is>
      </c>
      <c r="S388" s="15" t="n">
        <v>3956</v>
      </c>
      <c r="T388" s="15" t="inlineStr">
        <is>
          <t>Frontend; Backend/API; Mobile; Data/Database; Testing/Automation</t>
        </is>
      </c>
      <c r="U388" s="15" t="inlineStr">
        <is>
          <t>Finance/Banking; Technology; Telecom; Education/Research; Manufacturing/Automotive</t>
        </is>
      </c>
      <c r="V388" s="15" t="inlineStr">
        <is>
          <t>C:\Workspace\java\scrape_indeed\soft_dav_part_1\93.html#23790</t>
        </is>
      </c>
    </row>
    <row r="389">
      <c r="A389" s="2">
        <f>IF(COUNTIF('Sample 20'!$B$2:$B$21,B389)&gt;0,"是","")</f>
        <v/>
      </c>
      <c r="B389" s="2" t="inlineStr">
        <is>
          <t>23364</t>
        </is>
      </c>
      <c r="C389" s="15" t="inlineStr">
        <is>
          <t>Software Developer</t>
        </is>
      </c>
      <c r="D389" s="15">
        <f>IF(E389&gt;='Scoring Rules'!$B$3,"强",IF(E389&gt;='Scoring Rules'!$B$4,"中","弱"))</f>
        <v/>
      </c>
      <c r="E389" s="125">
        <f>MIN(100,H389+IF(I389&gt;=5,'Scoring Rules'!$B$16,IF(I389&gt;=3,'Scoring Rules'!$B$17,IF(I389&gt;=1,'Scoring Rules'!$B$18,'Scoring Rules'!$B$19)))+IF(L389="是",'Scoring Rules'!$B$22,0)+MIN(J389*'Scoring Rules'!$B$23,'Scoring Rules'!$B$24)+IF(M389="是",'Scoring Rules'!$B$25,0)+MIN((IF(K389="",0,LEN(K389)-LEN(SUBSTITUTE(K389,";",""))+1))*'Scoring Rules'!$B$26,'Scoring Rules'!$B$27)+IF(N389="是",'Scoring Rules'!$B$28,0)+IF(O389="是",'Scoring Rules'!$B$29,0)+IF(P389="是",'Scoring Rules'!$B$30,0)+IF(Q389="是",'Scoring Rules'!$B$31,0)+IF(R389="是",'Scoring Rules'!$B$32,0)+IF(S389&gt;=8000,'Scoring Rules'!$B$35,IF(S389&gt;=4000,'Scoring Rules'!$B$36,IF(S389&gt;=2000,'Scoring Rules'!$B$37,'Scoring Rules'!$B$38))))</f>
        <v/>
      </c>
      <c r="F389" s="15" t="inlineStr">
        <is>
          <t>Standard</t>
        </is>
      </c>
      <c r="G389" s="15" t="inlineStr">
        <is>
          <t>Unspecified</t>
        </is>
      </c>
      <c r="H389" s="15" t="n">
        <v>2</v>
      </c>
      <c r="I389" s="15" t="n">
        <v>3</v>
      </c>
      <c r="J389" s="15" t="n">
        <v>10</v>
      </c>
      <c r="K389" s="15" t="str"/>
      <c r="L389" s="15" t="str"/>
      <c r="M389" s="15" t="str"/>
      <c r="N389" s="15" t="str"/>
      <c r="O389" s="15" t="str"/>
      <c r="P389" s="15" t="str"/>
      <c r="Q389" s="15" t="str"/>
      <c r="R389" s="15" t="inlineStr">
        <is>
          <t>是</t>
        </is>
      </c>
      <c r="S389" s="15" t="n">
        <v>4002</v>
      </c>
      <c r="T389" s="15" t="inlineStr">
        <is>
          <t>Frontend; Backend/API; Data/Database; Embedded/Systems; Testing/Automation</t>
        </is>
      </c>
      <c r="U389" s="15" t="inlineStr">
        <is>
          <t>Technology; Education/Research</t>
        </is>
      </c>
      <c r="V389" s="15" t="inlineStr">
        <is>
          <t>C:\Workspace\java\scrape_indeed\soft_dav_part_1\938.html#23799</t>
        </is>
      </c>
    </row>
    <row r="390">
      <c r="A390" s="2">
        <f>IF(COUNTIF('Sample 20'!$B$2:$B$21,B390)&gt;0,"是","")</f>
        <v/>
      </c>
      <c r="B390" s="2" t="inlineStr">
        <is>
          <t>23367</t>
        </is>
      </c>
      <c r="C390" s="15" t="inlineStr">
        <is>
          <t>Software Developer</t>
        </is>
      </c>
      <c r="D390" s="15">
        <f>IF(E390&gt;='Scoring Rules'!$B$3,"强",IF(E390&gt;='Scoring Rules'!$B$4,"中","弱"))</f>
        <v/>
      </c>
      <c r="E390" s="125">
        <f>MIN(100,H390+IF(I390&gt;=5,'Scoring Rules'!$B$16,IF(I390&gt;=3,'Scoring Rules'!$B$17,IF(I390&gt;=1,'Scoring Rules'!$B$18,'Scoring Rules'!$B$19)))+IF(L390="是",'Scoring Rules'!$B$22,0)+MIN(J390*'Scoring Rules'!$B$23,'Scoring Rules'!$B$24)+IF(M390="是",'Scoring Rules'!$B$25,0)+MIN((IF(K390="",0,LEN(K390)-LEN(SUBSTITUTE(K390,";",""))+1))*'Scoring Rules'!$B$26,'Scoring Rules'!$B$27)+IF(N390="是",'Scoring Rules'!$B$28,0)+IF(O390="是",'Scoring Rules'!$B$29,0)+IF(P390="是",'Scoring Rules'!$B$30,0)+IF(Q390="是",'Scoring Rules'!$B$31,0)+IF(R390="是",'Scoring Rules'!$B$32,0)+IF(S390&gt;=8000,'Scoring Rules'!$B$35,IF(S390&gt;=4000,'Scoring Rules'!$B$36,IF(S390&gt;=2000,'Scoring Rules'!$B$37,'Scoring Rules'!$B$38))))</f>
        <v/>
      </c>
      <c r="F390" s="15" t="inlineStr">
        <is>
          <t>Standard</t>
        </is>
      </c>
      <c r="G390" s="15" t="inlineStr">
        <is>
          <t>Bachelor</t>
        </is>
      </c>
      <c r="H390" s="15" t="n">
        <v>12</v>
      </c>
      <c r="I390" s="15" t="n">
        <v>4</v>
      </c>
      <c r="J390" s="15" t="n">
        <v>22</v>
      </c>
      <c r="K390" s="15" t="str"/>
      <c r="L390" s="15" t="inlineStr">
        <is>
          <t>是</t>
        </is>
      </c>
      <c r="M390" s="15" t="str"/>
      <c r="N390" s="15" t="str"/>
      <c r="O390" s="15" t="str"/>
      <c r="P390" s="15" t="str"/>
      <c r="Q390" s="15" t="inlineStr">
        <is>
          <t>是</t>
        </is>
      </c>
      <c r="R390" s="15" t="str"/>
      <c r="S390" s="15" t="n">
        <v>2071</v>
      </c>
      <c r="T390" s="15" t="inlineStr">
        <is>
          <t>Frontend; Backend/API; Data/Database; Cloud/DevOps; Testing/Automation</t>
        </is>
      </c>
      <c r="U390" s="15" t="inlineStr">
        <is>
          <t>Technology; Education/Research</t>
        </is>
      </c>
      <c r="V390" s="15" t="inlineStr">
        <is>
          <t>C:\Workspace\java\scrape_indeed\soft_dav_part_1\940.html#23802</t>
        </is>
      </c>
    </row>
    <row r="391">
      <c r="A391" s="2">
        <f>IF(COUNTIF('Sample 20'!$B$2:$B$21,B391)&gt;0,"是","")</f>
        <v/>
      </c>
      <c r="B391" s="2" t="inlineStr">
        <is>
          <t>23369</t>
        </is>
      </c>
      <c r="C391" s="15" t="inlineStr">
        <is>
          <t>Software Developer</t>
        </is>
      </c>
      <c r="D391" s="15">
        <f>IF(E391&gt;='Scoring Rules'!$B$3,"强",IF(E391&gt;='Scoring Rules'!$B$4,"中","弱"))</f>
        <v/>
      </c>
      <c r="E391" s="125">
        <f>MIN(100,H391+IF(I391&gt;=5,'Scoring Rules'!$B$16,IF(I391&gt;=3,'Scoring Rules'!$B$17,IF(I391&gt;=1,'Scoring Rules'!$B$18,'Scoring Rules'!$B$19)))+IF(L391="是",'Scoring Rules'!$B$22,0)+MIN(J391*'Scoring Rules'!$B$23,'Scoring Rules'!$B$24)+IF(M391="是",'Scoring Rules'!$B$25,0)+MIN((IF(K391="",0,LEN(K391)-LEN(SUBSTITUTE(K391,";",""))+1))*'Scoring Rules'!$B$26,'Scoring Rules'!$B$27)+IF(N391="是",'Scoring Rules'!$B$28,0)+IF(O391="是",'Scoring Rules'!$B$29,0)+IF(P391="是",'Scoring Rules'!$B$30,0)+IF(Q391="是",'Scoring Rules'!$B$31,0)+IF(R391="是",'Scoring Rules'!$B$32,0)+IF(S391&gt;=8000,'Scoring Rules'!$B$35,IF(S391&gt;=4000,'Scoring Rules'!$B$36,IF(S391&gt;=2000,'Scoring Rules'!$B$37,'Scoring Rules'!$B$38))))</f>
        <v/>
      </c>
      <c r="F391" s="15" t="inlineStr">
        <is>
          <t>Standard</t>
        </is>
      </c>
      <c r="G391" s="15" t="inlineStr">
        <is>
          <t>Master</t>
        </is>
      </c>
      <c r="H391" s="15" t="n">
        <v>16</v>
      </c>
      <c r="I391" s="15" t="n">
        <v>5</v>
      </c>
      <c r="J391" s="15" t="n">
        <v>15</v>
      </c>
      <c r="K391" s="15" t="str"/>
      <c r="L391" s="15" t="inlineStr">
        <is>
          <t>是</t>
        </is>
      </c>
      <c r="M391" s="15" t="str"/>
      <c r="N391" s="15" t="str"/>
      <c r="O391" s="15" t="str"/>
      <c r="P391" s="15" t="inlineStr">
        <is>
          <t>是</t>
        </is>
      </c>
      <c r="Q391" s="15" t="inlineStr">
        <is>
          <t>是</t>
        </is>
      </c>
      <c r="R391" s="15" t="inlineStr">
        <is>
          <t>是</t>
        </is>
      </c>
      <c r="S391" s="15" t="n">
        <v>3511</v>
      </c>
      <c r="T391" s="15" t="inlineStr">
        <is>
          <t>Frontend; Backend/API; Data/Database; Embedded/Systems; Testing/Automation</t>
        </is>
      </c>
      <c r="U391" s="15" t="inlineStr">
        <is>
          <t>Technology; Education/Research</t>
        </is>
      </c>
      <c r="V391" s="15" t="inlineStr">
        <is>
          <t>C:\Workspace\java\scrape_indeed\soft_dav_part_1\942.html#23804</t>
        </is>
      </c>
    </row>
    <row r="392">
      <c r="A392" s="2">
        <f>IF(COUNTIF('Sample 20'!$B$2:$B$21,B392)&gt;0,"是","")</f>
        <v/>
      </c>
      <c r="B392" s="2" t="inlineStr">
        <is>
          <t>23372</t>
        </is>
      </c>
      <c r="C392" s="15" t="inlineStr">
        <is>
          <t>Software Developer</t>
        </is>
      </c>
      <c r="D392" s="15">
        <f>IF(E392&gt;='Scoring Rules'!$B$3,"强",IF(E392&gt;='Scoring Rules'!$B$4,"中","弱"))</f>
        <v/>
      </c>
      <c r="E392" s="125">
        <f>MIN(100,H392+IF(I392&gt;=5,'Scoring Rules'!$B$16,IF(I392&gt;=3,'Scoring Rules'!$B$17,IF(I392&gt;=1,'Scoring Rules'!$B$18,'Scoring Rules'!$B$19)))+IF(L392="是",'Scoring Rules'!$B$22,0)+MIN(J392*'Scoring Rules'!$B$23,'Scoring Rules'!$B$24)+IF(M392="是",'Scoring Rules'!$B$25,0)+MIN((IF(K392="",0,LEN(K392)-LEN(SUBSTITUTE(K392,";",""))+1))*'Scoring Rules'!$B$26,'Scoring Rules'!$B$27)+IF(N392="是",'Scoring Rules'!$B$28,0)+IF(O392="是",'Scoring Rules'!$B$29,0)+IF(P392="是",'Scoring Rules'!$B$30,0)+IF(Q392="是",'Scoring Rules'!$B$31,0)+IF(R392="是",'Scoring Rules'!$B$32,0)+IF(S392&gt;=8000,'Scoring Rules'!$B$35,IF(S392&gt;=4000,'Scoring Rules'!$B$36,IF(S392&gt;=2000,'Scoring Rules'!$B$37,'Scoring Rules'!$B$38))))</f>
        <v/>
      </c>
      <c r="F392" s="15" t="inlineStr">
        <is>
          <t>Standard</t>
        </is>
      </c>
      <c r="G392" s="15" t="inlineStr">
        <is>
          <t>High School</t>
        </is>
      </c>
      <c r="H392" s="15" t="n">
        <v>5</v>
      </c>
      <c r="I392" s="15" t="n">
        <v>4</v>
      </c>
      <c r="J392" s="15" t="n">
        <v>9</v>
      </c>
      <c r="K392" s="15" t="str"/>
      <c r="L392" s="15" t="inlineStr">
        <is>
          <t>是</t>
        </is>
      </c>
      <c r="M392" s="15" t="str"/>
      <c r="N392" s="15" t="str"/>
      <c r="O392" s="15" t="inlineStr">
        <is>
          <t>是</t>
        </is>
      </c>
      <c r="P392" s="15" t="inlineStr">
        <is>
          <t>是</t>
        </is>
      </c>
      <c r="Q392" s="15" t="str"/>
      <c r="R392" s="15" t="inlineStr">
        <is>
          <t>是</t>
        </is>
      </c>
      <c r="S392" s="15" t="n">
        <v>1712</v>
      </c>
      <c r="T392" s="15" t="inlineStr">
        <is>
          <t>Frontend; Mobile; Data/Database</t>
        </is>
      </c>
      <c r="U392" s="15" t="inlineStr">
        <is>
          <t>Technology</t>
        </is>
      </c>
      <c r="V392" s="15" t="inlineStr">
        <is>
          <t>C:\Workspace\java\scrape_indeed\soft_dav_part_1\945.html#23807</t>
        </is>
      </c>
    </row>
    <row r="393">
      <c r="A393" s="2">
        <f>IF(COUNTIF('Sample 20'!$B$2:$B$21,B393)&gt;0,"是","")</f>
        <v/>
      </c>
      <c r="B393" s="2" t="inlineStr">
        <is>
          <t>23377</t>
        </is>
      </c>
      <c r="C393" s="15" t="inlineStr">
        <is>
          <t>Software developer</t>
        </is>
      </c>
      <c r="D393" s="15">
        <f>IF(E393&gt;='Scoring Rules'!$B$3,"强",IF(E393&gt;='Scoring Rules'!$B$4,"中","弱"))</f>
        <v/>
      </c>
      <c r="E393" s="125">
        <f>MIN(100,H393+IF(I393&gt;=5,'Scoring Rules'!$B$16,IF(I393&gt;=3,'Scoring Rules'!$B$17,IF(I393&gt;=1,'Scoring Rules'!$B$18,'Scoring Rules'!$B$19)))+IF(L393="是",'Scoring Rules'!$B$22,0)+MIN(J393*'Scoring Rules'!$B$23,'Scoring Rules'!$B$24)+IF(M393="是",'Scoring Rules'!$B$25,0)+MIN((IF(K393="",0,LEN(K393)-LEN(SUBSTITUTE(K393,";",""))+1))*'Scoring Rules'!$B$26,'Scoring Rules'!$B$27)+IF(N393="是",'Scoring Rules'!$B$28,0)+IF(O393="是",'Scoring Rules'!$B$29,0)+IF(P393="是",'Scoring Rules'!$B$30,0)+IF(Q393="是",'Scoring Rules'!$B$31,0)+IF(R393="是",'Scoring Rules'!$B$32,0)+IF(S393&gt;=8000,'Scoring Rules'!$B$35,IF(S393&gt;=4000,'Scoring Rules'!$B$36,IF(S393&gt;=2000,'Scoring Rules'!$B$37,'Scoring Rules'!$B$38))))</f>
        <v/>
      </c>
      <c r="F393" s="15" t="inlineStr">
        <is>
          <t>Standard</t>
        </is>
      </c>
      <c r="G393" s="15" t="inlineStr">
        <is>
          <t>Master</t>
        </is>
      </c>
      <c r="H393" s="15" t="n">
        <v>16</v>
      </c>
      <c r="I393" s="15" t="n">
        <v>1</v>
      </c>
      <c r="J393" s="15" t="n">
        <v>21</v>
      </c>
      <c r="K393" s="15" t="str"/>
      <c r="L393" s="15" t="inlineStr">
        <is>
          <t>是</t>
        </is>
      </c>
      <c r="M393" s="15" t="str"/>
      <c r="N393" s="15" t="str"/>
      <c r="O393" s="15" t="inlineStr">
        <is>
          <t>是</t>
        </is>
      </c>
      <c r="P393" s="15" t="inlineStr">
        <is>
          <t>是</t>
        </is>
      </c>
      <c r="Q393" s="15" t="str"/>
      <c r="R393" s="15" t="inlineStr">
        <is>
          <t>是</t>
        </is>
      </c>
      <c r="S393" s="15" t="n">
        <v>2527</v>
      </c>
      <c r="T393" s="15" t="inlineStr">
        <is>
          <t>Frontend; Backend/API; Mobile; Data/Database; Embedded/Systems; Testing/Automation</t>
        </is>
      </c>
      <c r="U393" s="15" t="inlineStr">
        <is>
          <t>Technology; Education/Research</t>
        </is>
      </c>
      <c r="V393" s="15" t="inlineStr">
        <is>
          <t>C:\Workspace\java\scrape_indeed\soft_dav_part_1\95.html#23812</t>
        </is>
      </c>
    </row>
    <row r="394">
      <c r="A394" s="2">
        <f>IF(COUNTIF('Sample 20'!$B$2:$B$21,B394)&gt;0,"是","")</f>
        <v/>
      </c>
      <c r="B394" s="2" t="inlineStr">
        <is>
          <t>23381</t>
        </is>
      </c>
      <c r="C394" s="15" t="inlineStr">
        <is>
          <t>Software Developer</t>
        </is>
      </c>
      <c r="D394" s="15">
        <f>IF(E394&gt;='Scoring Rules'!$B$3,"强",IF(E394&gt;='Scoring Rules'!$B$4,"中","弱"))</f>
        <v/>
      </c>
      <c r="E394" s="125">
        <f>MIN(100,H394+IF(I394&gt;=5,'Scoring Rules'!$B$16,IF(I394&gt;=3,'Scoring Rules'!$B$17,IF(I394&gt;=1,'Scoring Rules'!$B$18,'Scoring Rules'!$B$19)))+IF(L394="是",'Scoring Rules'!$B$22,0)+MIN(J394*'Scoring Rules'!$B$23,'Scoring Rules'!$B$24)+IF(M394="是",'Scoring Rules'!$B$25,0)+MIN((IF(K394="",0,LEN(K394)-LEN(SUBSTITUTE(K394,";",""))+1))*'Scoring Rules'!$B$26,'Scoring Rules'!$B$27)+IF(N394="是",'Scoring Rules'!$B$28,0)+IF(O394="是",'Scoring Rules'!$B$29,0)+IF(P394="是",'Scoring Rules'!$B$30,0)+IF(Q394="是",'Scoring Rules'!$B$31,0)+IF(R394="是",'Scoring Rules'!$B$32,0)+IF(S394&gt;=8000,'Scoring Rules'!$B$35,IF(S394&gt;=4000,'Scoring Rules'!$B$36,IF(S394&gt;=2000,'Scoring Rules'!$B$37,'Scoring Rules'!$B$38))))</f>
        <v/>
      </c>
      <c r="F394" s="15" t="inlineStr">
        <is>
          <t>Standard</t>
        </is>
      </c>
      <c r="G394" s="15" t="inlineStr">
        <is>
          <t>High School</t>
        </is>
      </c>
      <c r="H394" s="15" t="n">
        <v>5</v>
      </c>
      <c r="I394" s="15" t="n">
        <v>3</v>
      </c>
      <c r="J394" s="15" t="n">
        <v>9</v>
      </c>
      <c r="K394" s="15" t="str"/>
      <c r="L394" s="15" t="inlineStr">
        <is>
          <t>是</t>
        </is>
      </c>
      <c r="M394" s="15" t="str"/>
      <c r="N394" s="15" t="inlineStr">
        <is>
          <t>是</t>
        </is>
      </c>
      <c r="O394" s="15" t="str"/>
      <c r="P394" s="15" t="inlineStr">
        <is>
          <t>是</t>
        </is>
      </c>
      <c r="Q394" s="15" t="str"/>
      <c r="R394" s="15" t="inlineStr">
        <is>
          <t>是</t>
        </is>
      </c>
      <c r="S394" s="15" t="n">
        <v>1634</v>
      </c>
      <c r="T394" s="15" t="inlineStr">
        <is>
          <t>Frontend; Backend/API</t>
        </is>
      </c>
      <c r="U394" s="15" t="inlineStr">
        <is>
          <t>Technology; Education/Research; Retail/E-commerce</t>
        </is>
      </c>
      <c r="V394" s="15" t="inlineStr">
        <is>
          <t>C:\Workspace\java\scrape_indeed\soft_dav_part_1\953.html#23816</t>
        </is>
      </c>
    </row>
    <row r="395">
      <c r="A395" s="2">
        <f>IF(COUNTIF('Sample 20'!$B$2:$B$21,B395)&gt;0,"是","")</f>
        <v/>
      </c>
      <c r="B395" s="2" t="inlineStr">
        <is>
          <t>23396</t>
        </is>
      </c>
      <c r="C395" s="15" t="inlineStr">
        <is>
          <t>Software Developer</t>
        </is>
      </c>
      <c r="D395" s="15">
        <f>IF(E395&gt;='Scoring Rules'!$B$3,"强",IF(E395&gt;='Scoring Rules'!$B$4,"中","弱"))</f>
        <v/>
      </c>
      <c r="E395" s="125">
        <f>MIN(100,H395+IF(I395&gt;=5,'Scoring Rules'!$B$16,IF(I395&gt;=3,'Scoring Rules'!$B$17,IF(I395&gt;=1,'Scoring Rules'!$B$18,'Scoring Rules'!$B$19)))+IF(L395="是",'Scoring Rules'!$B$22,0)+MIN(J395*'Scoring Rules'!$B$23,'Scoring Rules'!$B$24)+IF(M395="是",'Scoring Rules'!$B$25,0)+MIN((IF(K395="",0,LEN(K395)-LEN(SUBSTITUTE(K395,";",""))+1))*'Scoring Rules'!$B$26,'Scoring Rules'!$B$27)+IF(N395="是",'Scoring Rules'!$B$28,0)+IF(O395="是",'Scoring Rules'!$B$29,0)+IF(P395="是",'Scoring Rules'!$B$30,0)+IF(Q395="是",'Scoring Rules'!$B$31,0)+IF(R395="是",'Scoring Rules'!$B$32,0)+IF(S395&gt;=8000,'Scoring Rules'!$B$35,IF(S395&gt;=4000,'Scoring Rules'!$B$36,IF(S395&gt;=2000,'Scoring Rules'!$B$37,'Scoring Rules'!$B$38))))</f>
        <v/>
      </c>
      <c r="F395" s="15" t="inlineStr">
        <is>
          <t>Standard</t>
        </is>
      </c>
      <c r="G395" s="15" t="inlineStr">
        <is>
          <t>Master</t>
        </is>
      </c>
      <c r="H395" s="15" t="n">
        <v>16</v>
      </c>
      <c r="I395" s="15" t="n">
        <v>2</v>
      </c>
      <c r="J395" s="15" t="n">
        <v>9</v>
      </c>
      <c r="K395" s="15" t="str"/>
      <c r="L395" s="15" t="inlineStr">
        <is>
          <t>是</t>
        </is>
      </c>
      <c r="M395" s="15" t="str"/>
      <c r="N395" s="15" t="str"/>
      <c r="O395" s="15" t="str"/>
      <c r="P395" s="15" t="str"/>
      <c r="Q395" s="15" t="inlineStr">
        <is>
          <t>是</t>
        </is>
      </c>
      <c r="R395" s="15" t="inlineStr">
        <is>
          <t>是</t>
        </is>
      </c>
      <c r="S395" s="15" t="n">
        <v>3604</v>
      </c>
      <c r="T395" s="15" t="inlineStr">
        <is>
          <t>Data/Database; Cloud/DevOps; Embedded/Systems</t>
        </is>
      </c>
      <c r="U395" s="15" t="inlineStr">
        <is>
          <t>Technology; Education/Research</t>
        </is>
      </c>
      <c r="V395" s="15" t="inlineStr">
        <is>
          <t>C:\Workspace\java\scrape_indeed\soft_dav_part_1\967.html#23831</t>
        </is>
      </c>
    </row>
    <row r="396">
      <c r="A396" s="2">
        <f>IF(COUNTIF('Sample 20'!$B$2:$B$21,B396)&gt;0,"是","")</f>
        <v/>
      </c>
      <c r="B396" s="2" t="inlineStr">
        <is>
          <t>23414</t>
        </is>
      </c>
      <c r="C396" s="15" t="inlineStr">
        <is>
          <t>Software Developer</t>
        </is>
      </c>
      <c r="D396" s="15">
        <f>IF(E396&gt;='Scoring Rules'!$B$3,"强",IF(E396&gt;='Scoring Rules'!$B$4,"中","弱"))</f>
        <v/>
      </c>
      <c r="E396" s="125">
        <f>MIN(100,H396+IF(I396&gt;=5,'Scoring Rules'!$B$16,IF(I396&gt;=3,'Scoring Rules'!$B$17,IF(I396&gt;=1,'Scoring Rules'!$B$18,'Scoring Rules'!$B$19)))+IF(L396="是",'Scoring Rules'!$B$22,0)+MIN(J396*'Scoring Rules'!$B$23,'Scoring Rules'!$B$24)+IF(M396="是",'Scoring Rules'!$B$25,0)+MIN((IF(K396="",0,LEN(K396)-LEN(SUBSTITUTE(K396,";",""))+1))*'Scoring Rules'!$B$26,'Scoring Rules'!$B$27)+IF(N396="是",'Scoring Rules'!$B$28,0)+IF(O396="是",'Scoring Rules'!$B$29,0)+IF(P396="是",'Scoring Rules'!$B$30,0)+IF(Q396="是",'Scoring Rules'!$B$31,0)+IF(R396="是",'Scoring Rules'!$B$32,0)+IF(S396&gt;=8000,'Scoring Rules'!$B$35,IF(S396&gt;=4000,'Scoring Rules'!$B$36,IF(S396&gt;=2000,'Scoring Rules'!$B$37,'Scoring Rules'!$B$38))))</f>
        <v/>
      </c>
      <c r="F396" s="15" t="inlineStr">
        <is>
          <t>Standard</t>
        </is>
      </c>
      <c r="G396" s="15" t="inlineStr">
        <is>
          <t>Master</t>
        </is>
      </c>
      <c r="H396" s="15" t="n">
        <v>16</v>
      </c>
      <c r="I396" s="15" t="n">
        <v>4</v>
      </c>
      <c r="J396" s="15" t="n">
        <v>16</v>
      </c>
      <c r="K396" s="15" t="str"/>
      <c r="L396" s="15" t="inlineStr">
        <is>
          <t>是</t>
        </is>
      </c>
      <c r="M396" s="15" t="inlineStr">
        <is>
          <t>是</t>
        </is>
      </c>
      <c r="N396" s="15" t="str"/>
      <c r="O396" s="15" t="str"/>
      <c r="P396" s="15" t="inlineStr">
        <is>
          <t>是</t>
        </is>
      </c>
      <c r="Q396" s="15" t="inlineStr">
        <is>
          <t>是</t>
        </is>
      </c>
      <c r="R396" s="15" t="inlineStr">
        <is>
          <t>是</t>
        </is>
      </c>
      <c r="S396" s="15" t="n">
        <v>3107</v>
      </c>
      <c r="T396" s="15" t="inlineStr">
        <is>
          <t>Frontend; Backend/API; Data/Database; Testing/Automation</t>
        </is>
      </c>
      <c r="U396" s="15" t="inlineStr">
        <is>
          <t>Finance/Banking; Technology; Consulting; Education/Research</t>
        </is>
      </c>
      <c r="V396" s="15" t="inlineStr">
        <is>
          <t>C:\Workspace\java\scrape_indeed\soft_dav_part_1\983.html#23849</t>
        </is>
      </c>
    </row>
    <row r="397">
      <c r="A397" s="2">
        <f>IF(COUNTIF('Sample 20'!$B$2:$B$21,B397)&gt;0,"是","")</f>
        <v/>
      </c>
      <c r="B397" s="2" t="inlineStr">
        <is>
          <t>23427</t>
        </is>
      </c>
      <c r="C397" s="15" t="inlineStr">
        <is>
          <t>Software Developer</t>
        </is>
      </c>
      <c r="D397" s="15">
        <f>IF(E397&gt;='Scoring Rules'!$B$3,"强",IF(E397&gt;='Scoring Rules'!$B$4,"中","弱"))</f>
        <v/>
      </c>
      <c r="E397" s="125">
        <f>MIN(100,H397+IF(I397&gt;=5,'Scoring Rules'!$B$16,IF(I397&gt;=3,'Scoring Rules'!$B$17,IF(I397&gt;=1,'Scoring Rules'!$B$18,'Scoring Rules'!$B$19)))+IF(L397="是",'Scoring Rules'!$B$22,0)+MIN(J397*'Scoring Rules'!$B$23,'Scoring Rules'!$B$24)+IF(M397="是",'Scoring Rules'!$B$25,0)+MIN((IF(K397="",0,LEN(K397)-LEN(SUBSTITUTE(K397,";",""))+1))*'Scoring Rules'!$B$26,'Scoring Rules'!$B$27)+IF(N397="是",'Scoring Rules'!$B$28,0)+IF(O397="是",'Scoring Rules'!$B$29,0)+IF(P397="是",'Scoring Rules'!$B$30,0)+IF(Q397="是",'Scoring Rules'!$B$31,0)+IF(R397="是",'Scoring Rules'!$B$32,0)+IF(S397&gt;=8000,'Scoring Rules'!$B$35,IF(S397&gt;=4000,'Scoring Rules'!$B$36,IF(S397&gt;=2000,'Scoring Rules'!$B$37,'Scoring Rules'!$B$38))))</f>
        <v/>
      </c>
      <c r="F397" s="15" t="inlineStr">
        <is>
          <t>Standard</t>
        </is>
      </c>
      <c r="G397" s="15" t="inlineStr">
        <is>
          <t>Master</t>
        </is>
      </c>
      <c r="H397" s="15" t="n">
        <v>16</v>
      </c>
      <c r="I397" s="15" t="n">
        <v>2</v>
      </c>
      <c r="J397" s="15" t="n">
        <v>10</v>
      </c>
      <c r="K397" s="15" t="str"/>
      <c r="L397" s="15" t="str"/>
      <c r="M397" s="15" t="str"/>
      <c r="N397" s="15" t="str"/>
      <c r="O397" s="15" t="inlineStr">
        <is>
          <t>是</t>
        </is>
      </c>
      <c r="P397" s="15" t="str"/>
      <c r="Q397" s="15" t="str"/>
      <c r="R397" s="15" t="inlineStr">
        <is>
          <t>是</t>
        </is>
      </c>
      <c r="S397" s="15" t="n">
        <v>1912</v>
      </c>
      <c r="T397" s="15" t="inlineStr">
        <is>
          <t>Frontend; Backend/API; Mobile; Data/Database; Testing/Automation</t>
        </is>
      </c>
      <c r="U397" s="15" t="inlineStr">
        <is>
          <t>Technology; Education/Research</t>
        </is>
      </c>
      <c r="V397" s="15" t="inlineStr">
        <is>
          <t>C:\Workspace\java\scrape_indeed\soft_dav_part_1\995.html#23862</t>
        </is>
      </c>
    </row>
  </sheetData>
  <conditionalFormatting sqref="E2:E397">
    <cfRule type="colorScale" priority="1">
      <colorScale>
        <cfvo type="min"/>
        <cfvo type="percentile" val="50"/>
        <cfvo type="max"/>
        <color rgb="FFFCA5A5"/>
        <color rgb="FFFDE68A"/>
        <color rgb="FF86EFAC"/>
      </colorScale>
    </cfRule>
  </conditionalFormatting>
  <conditionalFormatting sqref="D2:D397">
    <cfRule type="containsText" priority="2" operator="containsText" dxfId="0" text="强"/>
    <cfRule type="containsText" priority="3" operator="containsText" dxfId="1" text="中"/>
    <cfRule type="containsText" priority="4" operator="containsText" dxfId="2" text="弱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30" customWidth="1" min="20" max="20"/>
    <col width="30" customWidth="1" min="21" max="21"/>
    <col width="42" customWidth="1" min="22" max="22"/>
    <col width="64" customWidth="1" min="23" max="23"/>
    <col width="50" customWidth="1" min="24" max="24"/>
  </cols>
  <sheetData>
    <row r="1" ht="31" customHeight="1">
      <c r="A1" s="11" t="inlineStr">
        <is>
          <t>样本序号</t>
        </is>
      </c>
      <c r="B1" s="12" t="inlineStr">
        <is>
          <t>Candidate ID</t>
        </is>
      </c>
      <c r="C1" s="12" t="inlineStr">
        <is>
          <t>原始标题</t>
        </is>
      </c>
      <c r="D1" s="12" t="inlineStr">
        <is>
          <t>分类</t>
        </is>
      </c>
      <c r="E1" s="12" t="inlineStr">
        <is>
          <t>内容证据分</t>
        </is>
      </c>
      <c r="F1" s="12" t="inlineStr">
        <is>
          <t>资历层级</t>
        </is>
      </c>
      <c r="G1" s="12" t="inlineStr">
        <is>
          <t>教育层次</t>
        </is>
      </c>
      <c r="H1" s="12" t="inlineStr">
        <is>
          <t>教育分</t>
        </is>
      </c>
      <c r="I1" s="12" t="inlineStr">
        <is>
          <t>工作经历数</t>
        </is>
      </c>
      <c r="J1" s="12" t="inlineStr">
        <is>
          <t>技术关键词数</t>
        </is>
      </c>
      <c r="K1" s="12" t="inlineStr">
        <is>
          <t>明确技术证书</t>
        </is>
      </c>
      <c r="L1" s="12" t="inlineStr">
        <is>
          <t>有Skills段</t>
        </is>
      </c>
      <c r="M1" s="12" t="inlineStr">
        <is>
          <t>有证书/执照</t>
        </is>
      </c>
      <c r="N1" s="12" t="inlineStr">
        <is>
          <t>有Awards/Honors</t>
        </is>
      </c>
      <c r="O1" s="12" t="inlineStr">
        <is>
          <t>有量化成果/成就</t>
        </is>
      </c>
      <c r="P1" s="12" t="inlineStr">
        <is>
          <t>有个人链接</t>
        </is>
      </c>
      <c r="Q1" s="12" t="inlineStr">
        <is>
          <t>有补充信息</t>
        </is>
      </c>
      <c r="R1" s="12" t="inlineStr">
        <is>
          <t>有项目/GitHub/Open Source</t>
        </is>
      </c>
      <c r="S1" s="12" t="inlineStr">
        <is>
          <t>正文字符数</t>
        </is>
      </c>
      <c r="T1" s="12" t="inlineStr">
        <is>
          <t>技术方向</t>
        </is>
      </c>
      <c r="U1" s="12" t="inlineStr">
        <is>
          <t>行业背景</t>
        </is>
      </c>
      <c r="V1" s="12" t="inlineStr">
        <is>
          <t>原始来源</t>
        </is>
      </c>
      <c r="W1" s="12" t="inlineStr">
        <is>
          <t>入选理由</t>
        </is>
      </c>
      <c r="X1" s="13" t="inlineStr">
        <is>
          <t>小样本TXT</t>
        </is>
      </c>
    </row>
    <row r="2" ht="62" customHeight="1">
      <c r="A2" s="2" t="n">
        <v>1</v>
      </c>
      <c r="B2" s="2" t="inlineStr">
        <is>
          <t>22456</t>
        </is>
      </c>
      <c r="C2" s="2" t="inlineStr">
        <is>
          <t>Software Developer</t>
        </is>
      </c>
      <c r="D2" s="2">
        <f>IF(E2&gt;='Scoring Rules'!$B$3,"强",IF(E2&gt;='Scoring Rules'!$B$4,"中","弱"))</f>
        <v/>
      </c>
      <c r="E2" s="126">
        <f>MIN(100,H2+IF(I2&gt;=5,'Scoring Rules'!$B$16,IF(I2&gt;=3,'Scoring Rules'!$B$17,IF(I2&gt;=1,'Scoring Rules'!$B$18,'Scoring Rules'!$B$19)))+IF(L2="是",'Scoring Rules'!$B$22,0)+MIN(J2*'Scoring Rules'!$B$23,'Scoring Rules'!$B$24)+IF(M2="是",'Scoring Rules'!$B$25,0)+MIN((IF(K2="",0,LEN(K2)-LEN(SUBSTITUTE(K2,";",""))+1))*'Scoring Rules'!$B$26,'Scoring Rules'!$B$27)+IF(N2="是",'Scoring Rules'!$B$28,0)+IF(O2="是",'Scoring Rules'!$B$29,0)+IF(P2="是",'Scoring Rules'!$B$30,0)+IF(Q2="是",'Scoring Rules'!$B$31,0)+IF(R2="是",'Scoring Rules'!$B$32,0)+IF(S2&gt;=8000,'Scoring Rules'!$B$35,IF(S2&gt;=4000,'Scoring Rules'!$B$36,IF(S2&gt;=2000,'Scoring Rules'!$B$37,'Scoring Rules'!$B$38))))</f>
        <v/>
      </c>
      <c r="F2" s="2" t="inlineStr">
        <is>
          <t>Standard</t>
        </is>
      </c>
      <c r="G2" s="2" t="inlineStr">
        <is>
          <t>Associate</t>
        </is>
      </c>
      <c r="H2" s="2" t="n">
        <v>8</v>
      </c>
      <c r="I2" s="2" t="n">
        <v>3</v>
      </c>
      <c r="J2" s="2" t="n">
        <v>17</v>
      </c>
      <c r="K2" s="2" t="str"/>
      <c r="L2" s="2" t="inlineStr">
        <is>
          <t>是</t>
        </is>
      </c>
      <c r="M2" s="2" t="inlineStr">
        <is>
          <t>是</t>
        </is>
      </c>
      <c r="N2" s="2" t="inlineStr">
        <is>
          <t>是</t>
        </is>
      </c>
      <c r="O2" s="2" t="inlineStr">
        <is>
          <t>是</t>
        </is>
      </c>
      <c r="P2" s="2" t="inlineStr">
        <is>
          <t>是</t>
        </is>
      </c>
      <c r="Q2" s="2" t="str"/>
      <c r="R2" s="2" t="inlineStr">
        <is>
          <t>是</t>
        </is>
      </c>
      <c r="S2" s="2" t="n">
        <v>3947</v>
      </c>
      <c r="T2" s="2" t="inlineStr">
        <is>
          <t>Frontend; Backend/API; Mobile; Data/Database; Cloud/DevOps</t>
        </is>
      </c>
      <c r="U2" s="2" t="inlineStr">
        <is>
          <t>Technology; Consulting; Education/Research; Manufacturing/Automotive</t>
        </is>
      </c>
      <c r="V2" s="2" t="inlineStr">
        <is>
          <t>C:\Workspace\java\scrape_indeed\soft_dav_part_1\2882.html#22875</t>
        </is>
      </c>
      <c r="W2" s="17" t="inlineStr">
        <is>
          <t>Associate；3段日期化工作经历；17类软件开发关键词；有Awards/Honors；有量化成果或明确成就；有个人链接；有项目/GitHub/Open Source信息；技术方向：Frontend、Backend/API、Mobile</t>
        </is>
      </c>
      <c r="X2" s="17" t="inlineStr">
        <is>
          <t>/Users/q/Desktop/Project-Security/data/software_developer_selection/02_diverse_sample_20/01__strong__22456__Software_Developer.txt</t>
        </is>
      </c>
    </row>
    <row r="3" ht="62" customHeight="1">
      <c r="A3" s="2" t="n">
        <v>2</v>
      </c>
      <c r="B3" s="2" t="inlineStr">
        <is>
          <t>20734</t>
        </is>
      </c>
      <c r="C3" s="2" t="inlineStr">
        <is>
          <t>Software Developer</t>
        </is>
      </c>
      <c r="D3" s="2">
        <f>IF(E3&gt;='Scoring Rules'!$B$3,"强",IF(E3&gt;='Scoring Rules'!$B$4,"中","弱"))</f>
        <v/>
      </c>
      <c r="E3" s="126">
        <f>MIN(100,H3+IF(I3&gt;=5,'Scoring Rules'!$B$16,IF(I3&gt;=3,'Scoring Rules'!$B$17,IF(I3&gt;=1,'Scoring Rules'!$B$18,'Scoring Rules'!$B$19)))+IF(L3="是",'Scoring Rules'!$B$22,0)+MIN(J3*'Scoring Rules'!$B$23,'Scoring Rules'!$B$24)+IF(M3="是",'Scoring Rules'!$B$25,0)+MIN((IF(K3="",0,LEN(K3)-LEN(SUBSTITUTE(K3,";",""))+1))*'Scoring Rules'!$B$26,'Scoring Rules'!$B$27)+IF(N3="是",'Scoring Rules'!$B$28,0)+IF(O3="是",'Scoring Rules'!$B$29,0)+IF(P3="是",'Scoring Rules'!$B$30,0)+IF(Q3="是",'Scoring Rules'!$B$31,0)+IF(R3="是",'Scoring Rules'!$B$32,0)+IF(S3&gt;=8000,'Scoring Rules'!$B$35,IF(S3&gt;=4000,'Scoring Rules'!$B$36,IF(S3&gt;=2000,'Scoring Rules'!$B$37,'Scoring Rules'!$B$38))))</f>
        <v/>
      </c>
      <c r="F3" s="2" t="inlineStr">
        <is>
          <t>Standard</t>
        </is>
      </c>
      <c r="G3" s="2" t="inlineStr">
        <is>
          <t>Unspecified</t>
        </is>
      </c>
      <c r="H3" s="2" t="n">
        <v>2</v>
      </c>
      <c r="I3" s="2" t="n">
        <v>2</v>
      </c>
      <c r="J3" s="2" t="n">
        <v>9</v>
      </c>
      <c r="K3" s="2" t="str"/>
      <c r="L3" s="2" t="inlineStr">
        <is>
          <t>是</t>
        </is>
      </c>
      <c r="M3" s="2" t="str"/>
      <c r="N3" s="2" t="inlineStr">
        <is>
          <t>是</t>
        </is>
      </c>
      <c r="O3" s="2" t="str"/>
      <c r="P3" s="2" t="inlineStr">
        <is>
          <t>是</t>
        </is>
      </c>
      <c r="Q3" s="2" t="str"/>
      <c r="R3" s="2" t="inlineStr">
        <is>
          <t>是</t>
        </is>
      </c>
      <c r="S3" s="2" t="n">
        <v>1571</v>
      </c>
      <c r="T3" s="2" t="inlineStr">
        <is>
          <t>Frontend; Backend/API</t>
        </is>
      </c>
      <c r="U3" s="2" t="inlineStr">
        <is>
          <t>Technology; Education/Research</t>
        </is>
      </c>
      <c r="V3" s="2" t="inlineStr">
        <is>
          <t>C:\Workspace\java\scrape_indeed\soft_dav_part_1\121.html#21018</t>
        </is>
      </c>
      <c r="W3" s="17" t="inlineStr">
        <is>
          <t>教育层次未明确；2段日期化工作经历；9类软件开发关键词；有Awards/Honors；有个人链接；有项目/GitHub/Open Source信息；技术方向：Frontend、Backend/API</t>
        </is>
      </c>
      <c r="X3" s="17" t="inlineStr">
        <is>
          <t>/Users/q/Desktop/Project-Security/data/software_developer_selection/02_diverse_sample_20/02__weak__20734__Software_Developer.txt</t>
        </is>
      </c>
    </row>
    <row r="4" ht="62" customHeight="1">
      <c r="A4" s="2" t="n">
        <v>3</v>
      </c>
      <c r="B4" s="2" t="inlineStr">
        <is>
          <t>22951</t>
        </is>
      </c>
      <c r="C4" s="2" t="inlineStr">
        <is>
          <t>Software Developer</t>
        </is>
      </c>
      <c r="D4" s="2">
        <f>IF(E4&gt;='Scoring Rules'!$B$3,"强",IF(E4&gt;='Scoring Rules'!$B$4,"中","弱"))</f>
        <v/>
      </c>
      <c r="E4" s="126">
        <f>MIN(100,H4+IF(I4&gt;=5,'Scoring Rules'!$B$16,IF(I4&gt;=3,'Scoring Rules'!$B$17,IF(I4&gt;=1,'Scoring Rules'!$B$18,'Scoring Rules'!$B$19)))+IF(L4="是",'Scoring Rules'!$B$22,0)+MIN(J4*'Scoring Rules'!$B$23,'Scoring Rules'!$B$24)+IF(M4="是",'Scoring Rules'!$B$25,0)+MIN((IF(K4="",0,LEN(K4)-LEN(SUBSTITUTE(K4,";",""))+1))*'Scoring Rules'!$B$26,'Scoring Rules'!$B$27)+IF(N4="是",'Scoring Rules'!$B$28,0)+IF(O4="是",'Scoring Rules'!$B$29,0)+IF(P4="是",'Scoring Rules'!$B$30,0)+IF(Q4="是",'Scoring Rules'!$B$31,0)+IF(R4="是",'Scoring Rules'!$B$32,0)+IF(S4&gt;=8000,'Scoring Rules'!$B$35,IF(S4&gt;=4000,'Scoring Rules'!$B$36,IF(S4&gt;=2000,'Scoring Rules'!$B$37,'Scoring Rules'!$B$38))))</f>
        <v/>
      </c>
      <c r="F4" s="2" t="inlineStr">
        <is>
          <t>Standard</t>
        </is>
      </c>
      <c r="G4" s="2" t="inlineStr">
        <is>
          <t>Bachelor</t>
        </is>
      </c>
      <c r="H4" s="2" t="n">
        <v>12</v>
      </c>
      <c r="I4" s="2" t="n">
        <v>2</v>
      </c>
      <c r="J4" s="2" t="n">
        <v>16</v>
      </c>
      <c r="K4" s="2" t="str"/>
      <c r="L4" s="2" t="inlineStr">
        <is>
          <t>是</t>
        </is>
      </c>
      <c r="M4" s="2" t="str"/>
      <c r="N4" s="2" t="inlineStr">
        <is>
          <t>是</t>
        </is>
      </c>
      <c r="O4" s="2" t="str"/>
      <c r="P4" s="2" t="inlineStr">
        <is>
          <t>是</t>
        </is>
      </c>
      <c r="Q4" s="2" t="inlineStr">
        <is>
          <t>是</t>
        </is>
      </c>
      <c r="R4" s="2" t="inlineStr">
        <is>
          <t>是</t>
        </is>
      </c>
      <c r="S4" s="2" t="n">
        <v>3704</v>
      </c>
      <c r="T4" s="2" t="inlineStr">
        <is>
          <t>Frontend; Backend/API; Mobile; Data/Database; Cloud/DevOps; Machine Learning</t>
        </is>
      </c>
      <c r="U4" s="2" t="inlineStr">
        <is>
          <t>Finance/Banking; Healthcare; Technology; Education/Research</t>
        </is>
      </c>
      <c r="V4" s="2" t="inlineStr">
        <is>
          <t>C:\Workspace\java\scrape_indeed\soft_dav_part_1\56.html#23379</t>
        </is>
      </c>
      <c r="W4" s="17" t="inlineStr">
        <is>
          <t>Bachelor；2段日期化工作经历；16类软件开发关键词；有Awards/Honors；有个人链接；有项目/GitHub/Open Source信息；技术方向：Frontend、Backend/API、Mobile</t>
        </is>
      </c>
      <c r="X4" s="17" t="inlineStr">
        <is>
          <t>/Users/q/Desktop/Project-Security/data/software_developer_selection/02_diverse_sample_20/03__medium__22951__Software_Developer.txt</t>
        </is>
      </c>
    </row>
    <row r="5" ht="62" customHeight="1">
      <c r="A5" s="2" t="n">
        <v>4</v>
      </c>
      <c r="B5" s="2" t="inlineStr">
        <is>
          <t>20545</t>
        </is>
      </c>
      <c r="C5" s="2" t="inlineStr">
        <is>
          <t>Software Developer</t>
        </is>
      </c>
      <c r="D5" s="2">
        <f>IF(E5&gt;='Scoring Rules'!$B$3,"强",IF(E5&gt;='Scoring Rules'!$B$4,"中","弱"))</f>
        <v/>
      </c>
      <c r="E5" s="126">
        <f>MIN(100,H5+IF(I5&gt;=5,'Scoring Rules'!$B$16,IF(I5&gt;=3,'Scoring Rules'!$B$17,IF(I5&gt;=1,'Scoring Rules'!$B$18,'Scoring Rules'!$B$19)))+IF(L5="是",'Scoring Rules'!$B$22,0)+MIN(J5*'Scoring Rules'!$B$23,'Scoring Rules'!$B$24)+IF(M5="是",'Scoring Rules'!$B$25,0)+MIN((IF(K5="",0,LEN(K5)-LEN(SUBSTITUTE(K5,";",""))+1))*'Scoring Rules'!$B$26,'Scoring Rules'!$B$27)+IF(N5="是",'Scoring Rules'!$B$28,0)+IF(O5="是",'Scoring Rules'!$B$29,0)+IF(P5="是",'Scoring Rules'!$B$30,0)+IF(Q5="是",'Scoring Rules'!$B$31,0)+IF(R5="是",'Scoring Rules'!$B$32,0)+IF(S5&gt;=8000,'Scoring Rules'!$B$35,IF(S5&gt;=4000,'Scoring Rules'!$B$36,IF(S5&gt;=2000,'Scoring Rules'!$B$37,'Scoring Rules'!$B$38))))</f>
        <v/>
      </c>
      <c r="F5" s="2" t="inlineStr">
        <is>
          <t>Standard</t>
        </is>
      </c>
      <c r="G5" s="2" t="inlineStr">
        <is>
          <t>Master</t>
        </is>
      </c>
      <c r="H5" s="2" t="n">
        <v>16</v>
      </c>
      <c r="I5" s="2" t="n">
        <v>2</v>
      </c>
      <c r="J5" s="2" t="n">
        <v>15</v>
      </c>
      <c r="K5" s="2" t="inlineStr">
        <is>
          <t>PMP</t>
        </is>
      </c>
      <c r="L5" s="2" t="inlineStr">
        <is>
          <t>是</t>
        </is>
      </c>
      <c r="M5" s="2" t="inlineStr">
        <is>
          <t>是</t>
        </is>
      </c>
      <c r="N5" s="2" t="str"/>
      <c r="O5" s="2" t="inlineStr">
        <is>
          <t>是</t>
        </is>
      </c>
      <c r="P5" s="2" t="str"/>
      <c r="Q5" s="2" t="str"/>
      <c r="R5" s="2" t="inlineStr">
        <is>
          <t>是</t>
        </is>
      </c>
      <c r="S5" s="2" t="n">
        <v>3360</v>
      </c>
      <c r="T5" s="2" t="inlineStr">
        <is>
          <t>Frontend; Backend/API; Data/Database; Cloud/DevOps; Embedded/Systems; Testing/Automation</t>
        </is>
      </c>
      <c r="U5" s="2" t="inlineStr">
        <is>
          <t>Technology; Telecom; Education/Research</t>
        </is>
      </c>
      <c r="V5" s="2" t="inlineStr">
        <is>
          <t>C:\Workspace\java\scrape_indeed\soft_dav_part_1\1030.html#20819</t>
        </is>
      </c>
      <c r="W5" s="17" t="inlineStr">
        <is>
          <t>Master；2段日期化工作经历；15类软件开发关键词；相关证书：PMP；有量化成果或明确成就；有项目/GitHub/Open Source信息；技术方向：Frontend、Backend/API、Data/Database</t>
        </is>
      </c>
      <c r="X5" s="17" t="inlineStr">
        <is>
          <t>/Users/q/Desktop/Project-Security/data/software_developer_selection/02_diverse_sample_20/04__strong__20545__Software_Developer.txt</t>
        </is>
      </c>
    </row>
    <row r="6" ht="62" customHeight="1">
      <c r="A6" s="2" t="n">
        <v>5</v>
      </c>
      <c r="B6" s="2" t="inlineStr">
        <is>
          <t>22828</t>
        </is>
      </c>
      <c r="C6" s="2" t="inlineStr">
        <is>
          <t>SOFTWARE DEVELOPER</t>
        </is>
      </c>
      <c r="D6" s="2">
        <f>IF(E6&gt;='Scoring Rules'!$B$3,"强",IF(E6&gt;='Scoring Rules'!$B$4,"中","弱"))</f>
        <v/>
      </c>
      <c r="E6" s="126">
        <f>MIN(100,H6+IF(I6&gt;=5,'Scoring Rules'!$B$16,IF(I6&gt;=3,'Scoring Rules'!$B$17,IF(I6&gt;=1,'Scoring Rules'!$B$18,'Scoring Rules'!$B$19)))+IF(L6="是",'Scoring Rules'!$B$22,0)+MIN(J6*'Scoring Rules'!$B$23,'Scoring Rules'!$B$24)+IF(M6="是",'Scoring Rules'!$B$25,0)+MIN((IF(K6="",0,LEN(K6)-LEN(SUBSTITUTE(K6,";",""))+1))*'Scoring Rules'!$B$26,'Scoring Rules'!$B$27)+IF(N6="是",'Scoring Rules'!$B$28,0)+IF(O6="是",'Scoring Rules'!$B$29,0)+IF(P6="是",'Scoring Rules'!$B$30,0)+IF(Q6="是",'Scoring Rules'!$B$31,0)+IF(R6="是",'Scoring Rules'!$B$32,0)+IF(S6&gt;=8000,'Scoring Rules'!$B$35,IF(S6&gt;=4000,'Scoring Rules'!$B$36,IF(S6&gt;=2000,'Scoring Rules'!$B$37,'Scoring Rules'!$B$38))))</f>
        <v/>
      </c>
      <c r="F6" s="2" t="inlineStr">
        <is>
          <t>Standard</t>
        </is>
      </c>
      <c r="G6" s="2" t="inlineStr">
        <is>
          <t>High School</t>
        </is>
      </c>
      <c r="H6" s="2" t="n">
        <v>5</v>
      </c>
      <c r="I6" s="2" t="n">
        <v>1</v>
      </c>
      <c r="J6" s="2" t="n">
        <v>11</v>
      </c>
      <c r="K6" s="2" t="str"/>
      <c r="L6" s="2" t="str"/>
      <c r="M6" s="2" t="str"/>
      <c r="N6" s="2" t="str"/>
      <c r="O6" s="2" t="str"/>
      <c r="P6" s="2" t="inlineStr">
        <is>
          <t>是</t>
        </is>
      </c>
      <c r="Q6" s="2" t="inlineStr">
        <is>
          <t>是</t>
        </is>
      </c>
      <c r="R6" s="2" t="inlineStr">
        <is>
          <t>是</t>
        </is>
      </c>
      <c r="S6" s="2" t="n">
        <v>2630</v>
      </c>
      <c r="T6" s="2" t="inlineStr">
        <is>
          <t>Frontend; Backend/API; Data/Database; Testing/Automation</t>
        </is>
      </c>
      <c r="U6" s="2" t="inlineStr">
        <is>
          <t>Technology; Education/Research</t>
        </is>
      </c>
      <c r="V6" s="2" t="inlineStr">
        <is>
          <t>C:\Workspace\java\scrape_indeed\soft_dav_part_1\447.html#23254</t>
        </is>
      </c>
      <c r="W6" s="17" t="inlineStr">
        <is>
          <t>High School；1段日期化工作经历；11类软件开发关键词；有个人链接；有项目/GitHub/Open Source信息；外部佐证和成果证据较少；技术方向：Frontend、Backend/API、Data/Database</t>
        </is>
      </c>
      <c r="X6" s="17" t="inlineStr">
        <is>
          <t>/Users/q/Desktop/Project-Security/data/software_developer_selection/02_diverse_sample_20/05__weak__22828__Software_Developer.txt</t>
        </is>
      </c>
    </row>
    <row r="7" ht="62" customHeight="1">
      <c r="A7" s="2" t="n">
        <v>6</v>
      </c>
      <c r="B7" s="2" t="inlineStr">
        <is>
          <t>22156</t>
        </is>
      </c>
      <c r="C7" s="2" t="inlineStr">
        <is>
          <t>Software Developer</t>
        </is>
      </c>
      <c r="D7" s="2">
        <f>IF(E7&gt;='Scoring Rules'!$B$3,"强",IF(E7&gt;='Scoring Rules'!$B$4,"中","弱"))</f>
        <v/>
      </c>
      <c r="E7" s="126">
        <f>MIN(100,H7+IF(I7&gt;=5,'Scoring Rules'!$B$16,IF(I7&gt;=3,'Scoring Rules'!$B$17,IF(I7&gt;=1,'Scoring Rules'!$B$18,'Scoring Rules'!$B$19)))+IF(L7="是",'Scoring Rules'!$B$22,0)+MIN(J7*'Scoring Rules'!$B$23,'Scoring Rules'!$B$24)+IF(M7="是",'Scoring Rules'!$B$25,0)+MIN((IF(K7="",0,LEN(K7)-LEN(SUBSTITUTE(K7,";",""))+1))*'Scoring Rules'!$B$26,'Scoring Rules'!$B$27)+IF(N7="是",'Scoring Rules'!$B$28,0)+IF(O7="是",'Scoring Rules'!$B$29,0)+IF(P7="是",'Scoring Rules'!$B$30,0)+IF(Q7="是",'Scoring Rules'!$B$31,0)+IF(R7="是",'Scoring Rules'!$B$32,0)+IF(S7&gt;=8000,'Scoring Rules'!$B$35,IF(S7&gt;=4000,'Scoring Rules'!$B$36,IF(S7&gt;=2000,'Scoring Rules'!$B$37,'Scoring Rules'!$B$38))))</f>
        <v/>
      </c>
      <c r="F7" s="2" t="inlineStr">
        <is>
          <t>Standard</t>
        </is>
      </c>
      <c r="G7" s="2" t="inlineStr">
        <is>
          <t>Certificate</t>
        </is>
      </c>
      <c r="H7" s="2" t="n">
        <v>6</v>
      </c>
      <c r="I7" s="2" t="n">
        <v>3</v>
      </c>
      <c r="J7" s="2" t="n">
        <v>14</v>
      </c>
      <c r="K7" s="2" t="str"/>
      <c r="L7" s="2" t="inlineStr">
        <is>
          <t>是</t>
        </is>
      </c>
      <c r="M7" s="2" t="str"/>
      <c r="N7" s="2" t="str"/>
      <c r="O7" s="2" t="inlineStr">
        <is>
          <t>是</t>
        </is>
      </c>
      <c r="P7" s="2" t="str"/>
      <c r="Q7" s="2" t="str"/>
      <c r="R7" s="2" t="str"/>
      <c r="S7" s="2" t="n">
        <v>2944</v>
      </c>
      <c r="T7" s="2" t="inlineStr">
        <is>
          <t>Frontend; Backend/API; Data/Database</t>
        </is>
      </c>
      <c r="U7" s="2" t="inlineStr">
        <is>
          <t>Technology; Telecom; Education/Research</t>
        </is>
      </c>
      <c r="V7" s="2" t="inlineStr">
        <is>
          <t>C:\Workspace\java\scrape_indeed\soft_dav_part_1\2562.html#22520</t>
        </is>
      </c>
      <c r="W7" s="17" t="inlineStr">
        <is>
          <t>Certificate；3段日期化工作经历；14类软件开发关键词；有量化成果或明确成就；技术方向：Frontend、Backend/API、Data/Database</t>
        </is>
      </c>
      <c r="X7" s="17" t="inlineStr">
        <is>
          <t>/Users/q/Desktop/Project-Security/data/software_developer_selection/02_diverse_sample_20/06__medium__22156__Software_Developer.txt</t>
        </is>
      </c>
    </row>
    <row r="8" ht="62" customHeight="1">
      <c r="A8" s="2" t="n">
        <v>7</v>
      </c>
      <c r="B8" s="2" t="inlineStr">
        <is>
          <t>22141</t>
        </is>
      </c>
      <c r="C8" s="2" t="inlineStr">
        <is>
          <t>Software Developer</t>
        </is>
      </c>
      <c r="D8" s="2">
        <f>IF(E8&gt;='Scoring Rules'!$B$3,"强",IF(E8&gt;='Scoring Rules'!$B$4,"中","弱"))</f>
        <v/>
      </c>
      <c r="E8" s="126">
        <f>MIN(100,H8+IF(I8&gt;=5,'Scoring Rules'!$B$16,IF(I8&gt;=3,'Scoring Rules'!$B$17,IF(I8&gt;=1,'Scoring Rules'!$B$18,'Scoring Rules'!$B$19)))+IF(L8="是",'Scoring Rules'!$B$22,0)+MIN(J8*'Scoring Rules'!$B$23,'Scoring Rules'!$B$24)+IF(M8="是",'Scoring Rules'!$B$25,0)+MIN((IF(K8="",0,LEN(K8)-LEN(SUBSTITUTE(K8,";",""))+1))*'Scoring Rules'!$B$26,'Scoring Rules'!$B$27)+IF(N8="是",'Scoring Rules'!$B$28,0)+IF(O8="是",'Scoring Rules'!$B$29,0)+IF(P8="是",'Scoring Rules'!$B$30,0)+IF(Q8="是",'Scoring Rules'!$B$31,0)+IF(R8="是",'Scoring Rules'!$B$32,0)+IF(S8&gt;=8000,'Scoring Rules'!$B$35,IF(S8&gt;=4000,'Scoring Rules'!$B$36,IF(S8&gt;=2000,'Scoring Rules'!$B$37,'Scoring Rules'!$B$38))))</f>
        <v/>
      </c>
      <c r="F8" s="2" t="inlineStr">
        <is>
          <t>Standard</t>
        </is>
      </c>
      <c r="G8" s="2" t="inlineStr">
        <is>
          <t>Doctorate</t>
        </is>
      </c>
      <c r="H8" s="2" t="n">
        <v>18</v>
      </c>
      <c r="I8" s="2" t="n">
        <v>6</v>
      </c>
      <c r="J8" s="2" t="n">
        <v>19</v>
      </c>
      <c r="K8" s="2" t="str"/>
      <c r="L8" s="2" t="inlineStr">
        <is>
          <t>是</t>
        </is>
      </c>
      <c r="M8" s="2" t="str"/>
      <c r="N8" s="2" t="str"/>
      <c r="O8" s="2" t="str"/>
      <c r="P8" s="2" t="str"/>
      <c r="Q8" s="2" t="inlineStr">
        <is>
          <t>是</t>
        </is>
      </c>
      <c r="R8" s="2" t="inlineStr">
        <is>
          <t>是</t>
        </is>
      </c>
      <c r="S8" s="2" t="n">
        <v>4492</v>
      </c>
      <c r="T8" s="2" t="inlineStr">
        <is>
          <t>Frontend; Backend/API; Data/Database; Cloud/DevOps</t>
        </is>
      </c>
      <c r="U8" s="2" t="inlineStr">
        <is>
          <t>Finance/Banking; Technology; Education/Research</t>
        </is>
      </c>
      <c r="V8" s="2" t="inlineStr">
        <is>
          <t>C:\Workspace\java\scrape_indeed\soft_dav_part_1\2548.html#22504</t>
        </is>
      </c>
      <c r="W8" s="17" t="inlineStr">
        <is>
          <t>Doctorate；6段日期化工作经历；19类软件开发关键词；有项目/GitHub/Open Source信息；外部佐证和成果证据较少；技术方向：Frontend、Backend/API、Data/Database</t>
        </is>
      </c>
      <c r="X8" s="17" t="inlineStr">
        <is>
          <t>/Users/q/Desktop/Project-Security/data/software_developer_selection/02_diverse_sample_20/07__strong__22141__Software_Developer.txt</t>
        </is>
      </c>
    </row>
    <row r="9" ht="62" customHeight="1">
      <c r="A9" s="2" t="n">
        <v>8</v>
      </c>
      <c r="B9" s="2" t="inlineStr">
        <is>
          <t>23161</t>
        </is>
      </c>
      <c r="C9" s="2" t="inlineStr">
        <is>
          <t>Software Developer</t>
        </is>
      </c>
      <c r="D9" s="2">
        <f>IF(E9&gt;='Scoring Rules'!$B$3,"强",IF(E9&gt;='Scoring Rules'!$B$4,"中","弱"))</f>
        <v/>
      </c>
      <c r="E9" s="126">
        <f>MIN(100,H9+IF(I9&gt;=5,'Scoring Rules'!$B$16,IF(I9&gt;=3,'Scoring Rules'!$B$17,IF(I9&gt;=1,'Scoring Rules'!$B$18,'Scoring Rules'!$B$19)))+IF(L9="是",'Scoring Rules'!$B$22,0)+MIN(J9*'Scoring Rules'!$B$23,'Scoring Rules'!$B$24)+IF(M9="是",'Scoring Rules'!$B$25,0)+MIN((IF(K9="",0,LEN(K9)-LEN(SUBSTITUTE(K9,";",""))+1))*'Scoring Rules'!$B$26,'Scoring Rules'!$B$27)+IF(N9="是",'Scoring Rules'!$B$28,0)+IF(O9="是",'Scoring Rules'!$B$29,0)+IF(P9="是",'Scoring Rules'!$B$30,0)+IF(Q9="是",'Scoring Rules'!$B$31,0)+IF(R9="是",'Scoring Rules'!$B$32,0)+IF(S9&gt;=8000,'Scoring Rules'!$B$35,IF(S9&gt;=4000,'Scoring Rules'!$B$36,IF(S9&gt;=2000,'Scoring Rules'!$B$37,'Scoring Rules'!$B$38))))</f>
        <v/>
      </c>
      <c r="F9" s="2" t="inlineStr">
        <is>
          <t>Standard</t>
        </is>
      </c>
      <c r="G9" s="2" t="inlineStr">
        <is>
          <t>Bachelor</t>
        </is>
      </c>
      <c r="H9" s="2" t="n">
        <v>12</v>
      </c>
      <c r="I9" s="2" t="n">
        <v>3</v>
      </c>
      <c r="J9" s="2" t="n">
        <v>4</v>
      </c>
      <c r="K9" s="2" t="str"/>
      <c r="L9" s="2" t="str"/>
      <c r="M9" s="2" t="str"/>
      <c r="N9" s="2" t="str"/>
      <c r="O9" s="2" t="str"/>
      <c r="P9" s="2" t="str"/>
      <c r="Q9" s="2" t="str"/>
      <c r="R9" s="2" t="inlineStr">
        <is>
          <t>是</t>
        </is>
      </c>
      <c r="S9" s="2" t="n">
        <v>2282</v>
      </c>
      <c r="T9" s="2" t="inlineStr">
        <is>
          <t>Backend/API; Data/Database</t>
        </is>
      </c>
      <c r="U9" s="2" t="inlineStr">
        <is>
          <t>Finance/Banking; Healthcare; Technology; Education/Research; Retail/E-commerce</t>
        </is>
      </c>
      <c r="V9" s="2" t="inlineStr">
        <is>
          <t>C:\Workspace\java\scrape_indeed\soft_dav_part_1\752.html#23593</t>
        </is>
      </c>
      <c r="W9" s="17" t="inlineStr">
        <is>
          <t>Bachelor；3段日期化工作经历；4类软件开发关键词；有项目/GitHub/Open Source信息；外部佐证和成果证据较少；技术方向：Backend/API、Data/Database</t>
        </is>
      </c>
      <c r="X9" s="17" t="inlineStr">
        <is>
          <t>/Users/q/Desktop/Project-Security/data/software_developer_selection/02_diverse_sample_20/08__weak__23161__Software_Developer.txt</t>
        </is>
      </c>
    </row>
    <row r="10" ht="62" customHeight="1">
      <c r="A10" s="2" t="n">
        <v>9</v>
      </c>
      <c r="B10" s="2" t="inlineStr">
        <is>
          <t>23372</t>
        </is>
      </c>
      <c r="C10" s="2" t="inlineStr">
        <is>
          <t>Software Developer</t>
        </is>
      </c>
      <c r="D10" s="2">
        <f>IF(E10&gt;='Scoring Rules'!$B$3,"强",IF(E10&gt;='Scoring Rules'!$B$4,"中","弱"))</f>
        <v/>
      </c>
      <c r="E10" s="126">
        <f>MIN(100,H10+IF(I10&gt;=5,'Scoring Rules'!$B$16,IF(I10&gt;=3,'Scoring Rules'!$B$17,IF(I10&gt;=1,'Scoring Rules'!$B$18,'Scoring Rules'!$B$19)))+IF(L10="是",'Scoring Rules'!$B$22,0)+MIN(J10*'Scoring Rules'!$B$23,'Scoring Rules'!$B$24)+IF(M10="是",'Scoring Rules'!$B$25,0)+MIN((IF(K10="",0,LEN(K10)-LEN(SUBSTITUTE(K10,";",""))+1))*'Scoring Rules'!$B$26,'Scoring Rules'!$B$27)+IF(N10="是",'Scoring Rules'!$B$28,0)+IF(O10="是",'Scoring Rules'!$B$29,0)+IF(P10="是",'Scoring Rules'!$B$30,0)+IF(Q10="是",'Scoring Rules'!$B$31,0)+IF(R10="是",'Scoring Rules'!$B$32,0)+IF(S10&gt;=8000,'Scoring Rules'!$B$35,IF(S10&gt;=4000,'Scoring Rules'!$B$36,IF(S10&gt;=2000,'Scoring Rules'!$B$37,'Scoring Rules'!$B$38))))</f>
        <v/>
      </c>
      <c r="F10" s="2" t="inlineStr">
        <is>
          <t>Standard</t>
        </is>
      </c>
      <c r="G10" s="2" t="inlineStr">
        <is>
          <t>High School</t>
        </is>
      </c>
      <c r="H10" s="2" t="n">
        <v>5</v>
      </c>
      <c r="I10" s="2" t="n">
        <v>4</v>
      </c>
      <c r="J10" s="2" t="n">
        <v>9</v>
      </c>
      <c r="K10" s="2" t="str"/>
      <c r="L10" s="2" t="inlineStr">
        <is>
          <t>是</t>
        </is>
      </c>
      <c r="M10" s="2" t="str"/>
      <c r="N10" s="2" t="str"/>
      <c r="O10" s="2" t="inlineStr">
        <is>
          <t>是</t>
        </is>
      </c>
      <c r="P10" s="2" t="inlineStr">
        <is>
          <t>是</t>
        </is>
      </c>
      <c r="Q10" s="2" t="str"/>
      <c r="R10" s="2" t="inlineStr">
        <is>
          <t>是</t>
        </is>
      </c>
      <c r="S10" s="2" t="n">
        <v>1712</v>
      </c>
      <c r="T10" s="2" t="inlineStr">
        <is>
          <t>Frontend; Mobile; Data/Database</t>
        </is>
      </c>
      <c r="U10" s="2" t="inlineStr">
        <is>
          <t>Technology</t>
        </is>
      </c>
      <c r="V10" s="2" t="inlineStr">
        <is>
          <t>C:\Workspace\java\scrape_indeed\soft_dav_part_1\945.html#23807</t>
        </is>
      </c>
      <c r="W10" s="17" t="inlineStr">
        <is>
          <t>High School；4段日期化工作经历；9类软件开发关键词；有量化成果或明确成就；有个人链接；有项目/GitHub/Open Source信息；技术方向：Frontend、Mobile、Data/Database</t>
        </is>
      </c>
      <c r="X10" s="17" t="inlineStr">
        <is>
          <t>/Users/q/Desktop/Project-Security/data/software_developer_selection/02_diverse_sample_20/09__medium__23372__Software_Developer.txt</t>
        </is>
      </c>
    </row>
    <row r="11" ht="62" customHeight="1">
      <c r="A11" s="2" t="n">
        <v>10</v>
      </c>
      <c r="B11" s="2" t="inlineStr">
        <is>
          <t>22992</t>
        </is>
      </c>
      <c r="C11" s="2" t="inlineStr">
        <is>
          <t>SOFTWARE DEVELOPER</t>
        </is>
      </c>
      <c r="D11" s="2">
        <f>IF(E11&gt;='Scoring Rules'!$B$3,"强",IF(E11&gt;='Scoring Rules'!$B$4,"中","弱"))</f>
        <v/>
      </c>
      <c r="E11" s="126">
        <f>MIN(100,H11+IF(I11&gt;=5,'Scoring Rules'!$B$16,IF(I11&gt;=3,'Scoring Rules'!$B$17,IF(I11&gt;=1,'Scoring Rules'!$B$18,'Scoring Rules'!$B$19)))+IF(L11="是",'Scoring Rules'!$B$22,0)+MIN(J11*'Scoring Rules'!$B$23,'Scoring Rules'!$B$24)+IF(M11="是",'Scoring Rules'!$B$25,0)+MIN((IF(K11="",0,LEN(K11)-LEN(SUBSTITUTE(K11,";",""))+1))*'Scoring Rules'!$B$26,'Scoring Rules'!$B$27)+IF(N11="是",'Scoring Rules'!$B$28,0)+IF(O11="是",'Scoring Rules'!$B$29,0)+IF(P11="是",'Scoring Rules'!$B$30,0)+IF(Q11="是",'Scoring Rules'!$B$31,0)+IF(R11="是",'Scoring Rules'!$B$32,0)+IF(S11&gt;=8000,'Scoring Rules'!$B$35,IF(S11&gt;=4000,'Scoring Rules'!$B$36,IF(S11&gt;=2000,'Scoring Rules'!$B$37,'Scoring Rules'!$B$38))))</f>
        <v/>
      </c>
      <c r="F11" s="2" t="inlineStr">
        <is>
          <t>Standard</t>
        </is>
      </c>
      <c r="G11" s="2" t="inlineStr">
        <is>
          <t>Master</t>
        </is>
      </c>
      <c r="H11" s="2" t="n">
        <v>16</v>
      </c>
      <c r="I11" s="2" t="n">
        <v>3</v>
      </c>
      <c r="J11" s="2" t="n">
        <v>8</v>
      </c>
      <c r="K11" s="2" t="inlineStr">
        <is>
          <t>Oracle/Java</t>
        </is>
      </c>
      <c r="L11" s="2" t="str"/>
      <c r="M11" s="2" t="inlineStr">
        <is>
          <t>是</t>
        </is>
      </c>
      <c r="N11" s="2" t="str"/>
      <c r="O11" s="2" t="inlineStr">
        <is>
          <t>是</t>
        </is>
      </c>
      <c r="P11" s="2" t="inlineStr">
        <is>
          <t>是</t>
        </is>
      </c>
      <c r="Q11" s="2" t="str"/>
      <c r="R11" s="2" t="inlineStr">
        <is>
          <t>是</t>
        </is>
      </c>
      <c r="S11" s="2" t="n">
        <v>2603</v>
      </c>
      <c r="T11" s="2" t="inlineStr">
        <is>
          <t>Backend/API; Data/Database</t>
        </is>
      </c>
      <c r="U11" s="2" t="inlineStr">
        <is>
          <t>Finance/Banking; Government/Defense; Technology; Education/Research</t>
        </is>
      </c>
      <c r="V11" s="2" t="inlineStr">
        <is>
          <t>C:\Workspace\java\scrape_indeed\soft_dav_part_1\597.html#23420</t>
        </is>
      </c>
      <c r="W11" s="17" t="inlineStr">
        <is>
          <t>Master；3段日期化工作经历；8类软件开发关键词；相关证书：Oracle/Java；有量化成果或明确成就；有个人链接；有项目/GitHub/Open Source信息；技术方向：Backend/API、Data/Database</t>
        </is>
      </c>
      <c r="X11" s="17" t="inlineStr">
        <is>
          <t>/Users/q/Desktop/Project-Security/data/software_developer_selection/02_diverse_sample_20/10__strong__22992__Software_Developer.txt</t>
        </is>
      </c>
    </row>
    <row r="12" ht="62" customHeight="1">
      <c r="A12" s="2" t="n">
        <v>11</v>
      </c>
      <c r="B12" s="2" t="inlineStr">
        <is>
          <t>21780</t>
        </is>
      </c>
      <c r="C12" s="2" t="inlineStr">
        <is>
          <t>Software Developer</t>
        </is>
      </c>
      <c r="D12" s="2" t="inlineStr">
        <is>
          <t>medium</t>
        </is>
      </c>
      <c r="E12" s="126">
        <f>MIN(100,H12+IF(I12&gt;=5,'Scoring Rules'!$B$16,IF(I12&gt;=3,'Scoring Rules'!$B$17,IF(I12&gt;=1,'Scoring Rules'!$B$18,'Scoring Rules'!$B$19)))+IF(L12="是",'Scoring Rules'!$B$22,0)+MIN(J12*'Scoring Rules'!$B$23,'Scoring Rules'!$B$24)+IF(M12="是",'Scoring Rules'!$B$25,0)+MIN((IF(K12="",0,LEN(K12)-LEN(SUBSTITUTE(K12,";",""))+1))*'Scoring Rules'!$B$26,'Scoring Rules'!$B$27)+IF(N12="是",'Scoring Rules'!$B$28,0)+IF(O12="是",'Scoring Rules'!$B$29,0)+IF(P12="是",'Scoring Rules'!$B$30,0)+IF(Q12="是",'Scoring Rules'!$B$31,0)+IF(R12="是",'Scoring Rules'!$B$32,0)+IF(S12&gt;=8000,'Scoring Rules'!$B$35,IF(S12&gt;=4000,'Scoring Rules'!$B$36,IF(S12&gt;=2000,'Scoring Rules'!$B$37,'Scoring Rules'!$B$38))))</f>
        <v/>
      </c>
      <c r="F12" s="2" t="inlineStr">
        <is>
          <t>Standard</t>
        </is>
      </c>
      <c r="G12" s="2" t="inlineStr">
        <is>
          <t>Unspecified</t>
        </is>
      </c>
      <c r="H12" s="2" t="n">
        <v>2</v>
      </c>
      <c r="I12" s="2" t="n">
        <v>2</v>
      </c>
      <c r="J12" s="2" t="n">
        <v>20</v>
      </c>
      <c r="K12" s="2" t="str"/>
      <c r="L12" s="2" t="str"/>
      <c r="M12" s="2" t="str"/>
      <c r="N12" s="2" t="str"/>
      <c r="O12" s="2" t="inlineStr">
        <is>
          <t>是</t>
        </is>
      </c>
      <c r="P12" s="2" t="str"/>
      <c r="Q12" s="2" t="str"/>
      <c r="R12" s="2" t="inlineStr">
        <is>
          <t>是</t>
        </is>
      </c>
      <c r="S12" s="2" t="n">
        <v>2145</v>
      </c>
      <c r="T12" s="2" t="inlineStr">
        <is>
          <t>Frontend; Backend/API; Mobile; Data/Database</t>
        </is>
      </c>
      <c r="U12" s="2" t="inlineStr">
        <is>
          <t>Technology; Education/Research</t>
        </is>
      </c>
      <c r="V12" s="2" t="inlineStr">
        <is>
          <t>C:\Workspace\java\scrape_indeed\soft_dav_part_1\2213.html#22133</t>
        </is>
      </c>
      <c r="W12" s="17" t="inlineStr">
        <is>
          <t>教育层次未明确；2段日期化工作经历；20类软件开发关键词；有量化成果或明确成就；有项目/GitHub/Open Source信息；技术方向：Frontend、Backend/API、Mobile</t>
        </is>
      </c>
      <c r="X12" s="17" t="inlineStr">
        <is>
          <t>/Users/q/Desktop/Project-Security/data/software_developer_selection/02_diverse_sample_20/11__weak__21780__Software_Developer.txt</t>
        </is>
      </c>
    </row>
    <row r="13" ht="62" customHeight="1">
      <c r="A13" s="2" t="n">
        <v>12</v>
      </c>
      <c r="B13" s="2" t="inlineStr">
        <is>
          <t>22804</t>
        </is>
      </c>
      <c r="C13" s="2" t="inlineStr">
        <is>
          <t>Software Developer</t>
        </is>
      </c>
      <c r="D13" s="2">
        <f>IF(E13&gt;='Scoring Rules'!$B$3,"强",IF(E13&gt;='Scoring Rules'!$B$4,"中","弱"))</f>
        <v/>
      </c>
      <c r="E13" s="126">
        <f>MIN(100,H13+IF(I13&gt;=5,'Scoring Rules'!$B$16,IF(I13&gt;=3,'Scoring Rules'!$B$17,IF(I13&gt;=1,'Scoring Rules'!$B$18,'Scoring Rules'!$B$19)))+IF(L13="是",'Scoring Rules'!$B$22,0)+MIN(J13*'Scoring Rules'!$B$23,'Scoring Rules'!$B$24)+IF(M13="是",'Scoring Rules'!$B$25,0)+MIN((IF(K13="",0,LEN(K13)-LEN(SUBSTITUTE(K13,";",""))+1))*'Scoring Rules'!$B$26,'Scoring Rules'!$B$27)+IF(N13="是",'Scoring Rules'!$B$28,0)+IF(O13="是",'Scoring Rules'!$B$29,0)+IF(P13="是",'Scoring Rules'!$B$30,0)+IF(Q13="是",'Scoring Rules'!$B$31,0)+IF(R13="是",'Scoring Rules'!$B$32,0)+IF(S13&gt;=8000,'Scoring Rules'!$B$35,IF(S13&gt;=4000,'Scoring Rules'!$B$36,IF(S13&gt;=2000,'Scoring Rules'!$B$37,'Scoring Rules'!$B$38))))</f>
        <v/>
      </c>
      <c r="F13" s="2" t="inlineStr">
        <is>
          <t>Standard</t>
        </is>
      </c>
      <c r="G13" s="2" t="inlineStr">
        <is>
          <t>Unspecified</t>
        </is>
      </c>
      <c r="H13" s="2" t="n">
        <v>2</v>
      </c>
      <c r="I13" s="2" t="n">
        <v>4</v>
      </c>
      <c r="J13" s="2" t="n">
        <v>5</v>
      </c>
      <c r="K13" s="2" t="str"/>
      <c r="L13" s="2" t="inlineStr">
        <is>
          <t>是</t>
        </is>
      </c>
      <c r="M13" s="2" t="str"/>
      <c r="N13" s="2" t="inlineStr">
        <is>
          <t>是</t>
        </is>
      </c>
      <c r="O13" s="2" t="inlineStr">
        <is>
          <t>是</t>
        </is>
      </c>
      <c r="P13" s="2" t="str"/>
      <c r="Q13" s="2" t="str"/>
      <c r="R13" s="2" t="inlineStr">
        <is>
          <t>是</t>
        </is>
      </c>
      <c r="S13" s="2" t="n">
        <v>6600</v>
      </c>
      <c r="T13" s="2" t="inlineStr">
        <is>
          <t>Frontend; Backend/API; Data/Database; Testing/Automation</t>
        </is>
      </c>
      <c r="U13" s="2" t="inlineStr">
        <is>
          <t>Government/Defense; Technology; Education/Research</t>
        </is>
      </c>
      <c r="V13" s="2" t="inlineStr">
        <is>
          <t>C:\Workspace\java\scrape_indeed\soft_dav_part_1\425.html#23230</t>
        </is>
      </c>
      <c r="W13" s="17" t="inlineStr">
        <is>
          <t>教育层次未明确；4段日期化工作经历；5类软件开发关键词；有Awards/Honors；有量化成果或明确成就；有项目/GitHub/Open Source信息；技术方向：Frontend、Backend/API、Data/Database</t>
        </is>
      </c>
      <c r="X13" s="17" t="inlineStr">
        <is>
          <t>/Users/q/Desktop/Project-Security/data/software_developer_selection/02_diverse_sample_20/12__medium__22804__Software_Developer.txt</t>
        </is>
      </c>
    </row>
    <row r="14" ht="62" customHeight="1">
      <c r="A14" s="2" t="n">
        <v>13</v>
      </c>
      <c r="B14" s="2" t="inlineStr">
        <is>
          <t>22836</t>
        </is>
      </c>
      <c r="C14" s="2" t="inlineStr">
        <is>
          <t>Software Developer</t>
        </is>
      </c>
      <c r="D14" s="2">
        <f>IF(E14&gt;='Scoring Rules'!$B$3,"强",IF(E14&gt;='Scoring Rules'!$B$4,"中","弱"))</f>
        <v/>
      </c>
      <c r="E14" s="126">
        <f>MIN(100,H14+IF(I14&gt;=5,'Scoring Rules'!$B$16,IF(I14&gt;=3,'Scoring Rules'!$B$17,IF(I14&gt;=1,'Scoring Rules'!$B$18,'Scoring Rules'!$B$19)))+IF(L14="是",'Scoring Rules'!$B$22,0)+MIN(J14*'Scoring Rules'!$B$23,'Scoring Rules'!$B$24)+IF(M14="是",'Scoring Rules'!$B$25,0)+MIN((IF(K14="",0,LEN(K14)-LEN(SUBSTITUTE(K14,";",""))+1))*'Scoring Rules'!$B$26,'Scoring Rules'!$B$27)+IF(N14="是",'Scoring Rules'!$B$28,0)+IF(O14="是",'Scoring Rules'!$B$29,0)+IF(P14="是",'Scoring Rules'!$B$30,0)+IF(Q14="是",'Scoring Rules'!$B$31,0)+IF(R14="是",'Scoring Rules'!$B$32,0)+IF(S14&gt;=8000,'Scoring Rules'!$B$35,IF(S14&gt;=4000,'Scoring Rules'!$B$36,IF(S14&gt;=2000,'Scoring Rules'!$B$37,'Scoring Rules'!$B$38))))</f>
        <v/>
      </c>
      <c r="F14" s="2" t="inlineStr">
        <is>
          <t>Standard</t>
        </is>
      </c>
      <c r="G14" s="2" t="inlineStr">
        <is>
          <t>Bachelor</t>
        </is>
      </c>
      <c r="H14" s="2" t="n">
        <v>12</v>
      </c>
      <c r="I14" s="2" t="n">
        <v>3</v>
      </c>
      <c r="J14" s="2" t="n">
        <v>16</v>
      </c>
      <c r="K14" s="2" t="inlineStr">
        <is>
          <t>Scrum; ITIL</t>
        </is>
      </c>
      <c r="L14" s="2" t="inlineStr">
        <is>
          <t>是</t>
        </is>
      </c>
      <c r="M14" s="2" t="inlineStr">
        <is>
          <t>是</t>
        </is>
      </c>
      <c r="N14" s="2" t="str"/>
      <c r="O14" s="2" t="inlineStr">
        <is>
          <t>是</t>
        </is>
      </c>
      <c r="P14" s="2" t="str"/>
      <c r="Q14" s="2" t="str"/>
      <c r="R14" s="2" t="str"/>
      <c r="S14" s="2" t="n">
        <v>3117</v>
      </c>
      <c r="T14" s="2" t="inlineStr">
        <is>
          <t>Backend/API; Data/Database; Cloud/DevOps; Testing/Automation</t>
        </is>
      </c>
      <c r="U14" s="2" t="inlineStr">
        <is>
          <t>Finance/Banking; Technology; Education/Research</t>
        </is>
      </c>
      <c r="V14" s="2" t="inlineStr">
        <is>
          <t>C:\Workspace\java\scrape_indeed\soft_dav_part_1\455.html#23263</t>
        </is>
      </c>
      <c r="W14" s="17" t="inlineStr">
        <is>
          <t>Bachelor；3段日期化工作经历；16类软件开发关键词；相关证书：Scrum/ITIL；有量化成果或明确成就；技术方向：Backend/API、Data/Database、Cloud/DevOps</t>
        </is>
      </c>
      <c r="X14" s="17" t="inlineStr">
        <is>
          <t>/Users/q/Desktop/Project-Security/data/software_developer_selection/02_diverse_sample_20/13__strong__22836__Software_Developer.txt</t>
        </is>
      </c>
    </row>
    <row r="15" ht="62" customHeight="1">
      <c r="A15" s="2" t="n">
        <v>14</v>
      </c>
      <c r="B15" s="2" t="inlineStr">
        <is>
          <t>20516</t>
        </is>
      </c>
      <c r="C15" s="2" t="inlineStr">
        <is>
          <t>Software Developer</t>
        </is>
      </c>
      <c r="D15" s="2">
        <f>IF(E15&gt;='Scoring Rules'!$B$3,"强",IF(E15&gt;='Scoring Rules'!$B$4,"中","弱"))</f>
        <v/>
      </c>
      <c r="E15" s="126">
        <f>MIN(100,H15+IF(I15&gt;=5,'Scoring Rules'!$B$16,IF(I15&gt;=3,'Scoring Rules'!$B$17,IF(I15&gt;=1,'Scoring Rules'!$B$18,'Scoring Rules'!$B$19)))+IF(L15="是",'Scoring Rules'!$B$22,0)+MIN(J15*'Scoring Rules'!$B$23,'Scoring Rules'!$B$24)+IF(M15="是",'Scoring Rules'!$B$25,0)+MIN((IF(K15="",0,LEN(K15)-LEN(SUBSTITUTE(K15,";",""))+1))*'Scoring Rules'!$B$26,'Scoring Rules'!$B$27)+IF(N15="是",'Scoring Rules'!$B$28,0)+IF(O15="是",'Scoring Rules'!$B$29,0)+IF(P15="是",'Scoring Rules'!$B$30,0)+IF(Q15="是",'Scoring Rules'!$B$31,0)+IF(R15="是",'Scoring Rules'!$B$32,0)+IF(S15&gt;=8000,'Scoring Rules'!$B$35,IF(S15&gt;=4000,'Scoring Rules'!$B$36,IF(S15&gt;=2000,'Scoring Rules'!$B$37,'Scoring Rules'!$B$38))))</f>
        <v/>
      </c>
      <c r="F15" s="2" t="inlineStr">
        <is>
          <t>Standard</t>
        </is>
      </c>
      <c r="G15" s="2" t="inlineStr">
        <is>
          <t>Certificate</t>
        </is>
      </c>
      <c r="H15" s="2" t="n">
        <v>6</v>
      </c>
      <c r="I15" s="2" t="n">
        <v>5</v>
      </c>
      <c r="J15" s="2" t="n">
        <v>4</v>
      </c>
      <c r="K15" s="2" t="str"/>
      <c r="L15" s="2" t="str"/>
      <c r="M15" s="2" t="str"/>
      <c r="N15" s="2" t="str"/>
      <c r="O15" s="2" t="str"/>
      <c r="P15" s="2" t="str"/>
      <c r="Q15" s="2" t="str"/>
      <c r="R15" s="2" t="str"/>
      <c r="S15" s="2" t="n">
        <v>1977</v>
      </c>
      <c r="T15" s="2" t="inlineStr">
        <is>
          <t>Data/Database</t>
        </is>
      </c>
      <c r="U15" s="2" t="inlineStr">
        <is>
          <t>Technology; Education/Research</t>
        </is>
      </c>
      <c r="V15" s="2" t="inlineStr">
        <is>
          <t>C:\Workspace\java\scrape_indeed\soft_dav_part_1\1004.html#20790</t>
        </is>
      </c>
      <c r="W15" s="17" t="inlineStr">
        <is>
          <t>Certificate；5段日期化工作经历；4类软件开发关键词；外部佐证和成果证据较少；技术方向：Data/Database</t>
        </is>
      </c>
      <c r="X15" s="17" t="inlineStr">
        <is>
          <t>/Users/q/Desktop/Project-Security/data/software_developer_selection/02_diverse_sample_20/14__weak__20516__Software_Developer.txt</t>
        </is>
      </c>
    </row>
    <row r="16" ht="62" customHeight="1">
      <c r="A16" s="2" t="n">
        <v>15</v>
      </c>
      <c r="B16" s="2" t="inlineStr">
        <is>
          <t>23030</t>
        </is>
      </c>
      <c r="C16" s="2" t="inlineStr">
        <is>
          <t>Software Developer</t>
        </is>
      </c>
      <c r="D16" s="2">
        <f>IF(E16&gt;='Scoring Rules'!$B$3,"强",IF(E16&gt;='Scoring Rules'!$B$4,"中","弱"))</f>
        <v/>
      </c>
      <c r="E16" s="126">
        <f>MIN(100,H16+IF(I16&gt;=5,'Scoring Rules'!$B$16,IF(I16&gt;=3,'Scoring Rules'!$B$17,IF(I16&gt;=1,'Scoring Rules'!$B$18,'Scoring Rules'!$B$19)))+IF(L16="是",'Scoring Rules'!$B$22,0)+MIN(J16*'Scoring Rules'!$B$23,'Scoring Rules'!$B$24)+IF(M16="是",'Scoring Rules'!$B$25,0)+MIN((IF(K16="",0,LEN(K16)-LEN(SUBSTITUTE(K16,";",""))+1))*'Scoring Rules'!$B$26,'Scoring Rules'!$B$27)+IF(N16="是",'Scoring Rules'!$B$28,0)+IF(O16="是",'Scoring Rules'!$B$29,0)+IF(P16="是",'Scoring Rules'!$B$30,0)+IF(Q16="是",'Scoring Rules'!$B$31,0)+IF(R16="是",'Scoring Rules'!$B$32,0)+IF(S16&gt;=8000,'Scoring Rules'!$B$35,IF(S16&gt;=4000,'Scoring Rules'!$B$36,IF(S16&gt;=2000,'Scoring Rules'!$B$37,'Scoring Rules'!$B$38))))</f>
        <v/>
      </c>
      <c r="F16" s="2" t="inlineStr">
        <is>
          <t>Standard</t>
        </is>
      </c>
      <c r="G16" s="2" t="inlineStr">
        <is>
          <t>Associate</t>
        </is>
      </c>
      <c r="H16" s="2" t="n">
        <v>8</v>
      </c>
      <c r="I16" s="2" t="n">
        <v>3</v>
      </c>
      <c r="J16" s="2" t="n">
        <v>7</v>
      </c>
      <c r="K16" s="2" t="inlineStr">
        <is>
          <t>Microsoft/Azure</t>
        </is>
      </c>
      <c r="L16" s="2" t="inlineStr">
        <is>
          <t>是</t>
        </is>
      </c>
      <c r="M16" s="2" t="inlineStr">
        <is>
          <t>是</t>
        </is>
      </c>
      <c r="N16" s="2" t="str"/>
      <c r="O16" s="2" t="str"/>
      <c r="P16" s="2" t="inlineStr">
        <is>
          <t>是</t>
        </is>
      </c>
      <c r="Q16" s="2" t="str"/>
      <c r="R16" s="2" t="inlineStr">
        <is>
          <t>是</t>
        </is>
      </c>
      <c r="S16" s="2" t="n">
        <v>2668</v>
      </c>
      <c r="T16" s="2" t="inlineStr">
        <is>
          <t>Backend/API; Data/Database; Testing/Automation</t>
        </is>
      </c>
      <c r="U16" s="2" t="inlineStr">
        <is>
          <t>Technology; Education/Research; Retail/E-commerce</t>
        </is>
      </c>
      <c r="V16" s="2" t="inlineStr">
        <is>
          <t>C:\Workspace\java\scrape_indeed\soft_dav_part_1\631.html#23459</t>
        </is>
      </c>
      <c r="W16" s="17" t="inlineStr">
        <is>
          <t>Associate；3段日期化工作经历；7类软件开发关键词；相关证书：Microsoft/Azure；有个人链接；有项目/GitHub/Open Source信息；技术方向：Backend/API、Data/Database、Testing/Automation</t>
        </is>
      </c>
      <c r="X16" s="17" t="inlineStr">
        <is>
          <t>/Users/q/Desktop/Project-Security/data/software_developer_selection/02_diverse_sample_20/15__medium__23030__Software_Developer.txt</t>
        </is>
      </c>
    </row>
    <row r="17" ht="62" customHeight="1">
      <c r="A17" s="2" t="n">
        <v>16</v>
      </c>
      <c r="B17" s="2" t="inlineStr">
        <is>
          <t>21666</t>
        </is>
      </c>
      <c r="C17" s="2" t="inlineStr">
        <is>
          <t>Software Developer</t>
        </is>
      </c>
      <c r="D17" s="2">
        <f>IF(E17&gt;='Scoring Rules'!$B$3,"强",IF(E17&gt;='Scoring Rules'!$B$4,"中","弱"))</f>
        <v/>
      </c>
      <c r="E17" s="126">
        <f>MIN(100,H17+IF(I17&gt;=5,'Scoring Rules'!$B$16,IF(I17&gt;=3,'Scoring Rules'!$B$17,IF(I17&gt;=1,'Scoring Rules'!$B$18,'Scoring Rules'!$B$19)))+IF(L17="是",'Scoring Rules'!$B$22,0)+MIN(J17*'Scoring Rules'!$B$23,'Scoring Rules'!$B$24)+IF(M17="是",'Scoring Rules'!$B$25,0)+MIN((IF(K17="",0,LEN(K17)-LEN(SUBSTITUTE(K17,";",""))+1))*'Scoring Rules'!$B$26,'Scoring Rules'!$B$27)+IF(N17="是",'Scoring Rules'!$B$28,0)+IF(O17="是",'Scoring Rules'!$B$29,0)+IF(P17="是",'Scoring Rules'!$B$30,0)+IF(Q17="是",'Scoring Rules'!$B$31,0)+IF(R17="是",'Scoring Rules'!$B$32,0)+IF(S17&gt;=8000,'Scoring Rules'!$B$35,IF(S17&gt;=4000,'Scoring Rules'!$B$36,IF(S17&gt;=2000,'Scoring Rules'!$B$37,'Scoring Rules'!$B$38))))</f>
        <v/>
      </c>
      <c r="F17" s="2" t="inlineStr">
        <is>
          <t>Standard</t>
        </is>
      </c>
      <c r="G17" s="2" t="inlineStr">
        <is>
          <t>Master</t>
        </is>
      </c>
      <c r="H17" s="2" t="n">
        <v>16</v>
      </c>
      <c r="I17" s="2" t="n">
        <v>5</v>
      </c>
      <c r="J17" s="2" t="n">
        <v>12</v>
      </c>
      <c r="K17" s="2" t="inlineStr">
        <is>
          <t>ITIL</t>
        </is>
      </c>
      <c r="L17" s="2" t="inlineStr">
        <is>
          <t>是</t>
        </is>
      </c>
      <c r="M17" s="2" t="inlineStr">
        <is>
          <t>是</t>
        </is>
      </c>
      <c r="N17" s="2" t="str"/>
      <c r="O17" s="2" t="str"/>
      <c r="P17" s="2" t="str"/>
      <c r="Q17" s="2" t="inlineStr">
        <is>
          <t>是</t>
        </is>
      </c>
      <c r="R17" s="2" t="str"/>
      <c r="S17" s="2" t="n">
        <v>8161</v>
      </c>
      <c r="T17" s="2" t="inlineStr">
        <is>
          <t>Frontend; Backend/API; Data/Database; Embedded/Systems</t>
        </is>
      </c>
      <c r="U17" s="2" t="inlineStr">
        <is>
          <t>Finance/Banking; Healthcare; Government/Defense; Technology</t>
        </is>
      </c>
      <c r="V17" s="2" t="inlineStr">
        <is>
          <t>C:\Workspace\java\scrape_indeed\soft_dav_part_1\2109.html#22017</t>
        </is>
      </c>
      <c r="W17" s="17" t="inlineStr">
        <is>
          <t>Master；5段日期化工作经历；12类软件开发关键词；相关证书：ITIL；技术方向：Frontend、Backend/API、Data/Database</t>
        </is>
      </c>
      <c r="X17" s="17" t="inlineStr">
        <is>
          <t>/Users/q/Desktop/Project-Security/data/software_developer_selection/02_diverse_sample_20/16__strong__21666__Software_Developer.txt</t>
        </is>
      </c>
    </row>
    <row r="18" ht="62" customHeight="1">
      <c r="A18" s="2" t="n">
        <v>17</v>
      </c>
      <c r="B18" s="2" t="inlineStr">
        <is>
          <t>20595</t>
        </is>
      </c>
      <c r="C18" s="2" t="inlineStr">
        <is>
          <t>Software Developer</t>
        </is>
      </c>
      <c r="D18" s="2">
        <f>IF(E18&gt;='Scoring Rules'!$B$3,"强",IF(E18&gt;='Scoring Rules'!$B$4,"中","弱"))</f>
        <v/>
      </c>
      <c r="E18" s="126">
        <f>MIN(100,H18+IF(I18&gt;=5,'Scoring Rules'!$B$16,IF(I18&gt;=3,'Scoring Rules'!$B$17,IF(I18&gt;=1,'Scoring Rules'!$B$18,'Scoring Rules'!$B$19)))+IF(L18="是",'Scoring Rules'!$B$22,0)+MIN(J18*'Scoring Rules'!$B$23,'Scoring Rules'!$B$24)+IF(M18="是",'Scoring Rules'!$B$25,0)+MIN((IF(K18="",0,LEN(K18)-LEN(SUBSTITUTE(K18,";",""))+1))*'Scoring Rules'!$B$26,'Scoring Rules'!$B$27)+IF(N18="是",'Scoring Rules'!$B$28,0)+IF(O18="是",'Scoring Rules'!$B$29,0)+IF(P18="是",'Scoring Rules'!$B$30,0)+IF(Q18="是",'Scoring Rules'!$B$31,0)+IF(R18="是",'Scoring Rules'!$B$32,0)+IF(S18&gt;=8000,'Scoring Rules'!$B$35,IF(S18&gt;=4000,'Scoring Rules'!$B$36,IF(S18&gt;=2000,'Scoring Rules'!$B$37,'Scoring Rules'!$B$38))))</f>
        <v/>
      </c>
      <c r="F18" s="2" t="inlineStr">
        <is>
          <t>Standard</t>
        </is>
      </c>
      <c r="G18" s="2" t="inlineStr">
        <is>
          <t>Bachelor</t>
        </is>
      </c>
      <c r="H18" s="2" t="n">
        <v>12</v>
      </c>
      <c r="I18" s="2" t="n">
        <v>2</v>
      </c>
      <c r="J18" s="2" t="n">
        <v>11</v>
      </c>
      <c r="K18" s="2" t="str"/>
      <c r="L18" s="2" t="inlineStr">
        <is>
          <t>是</t>
        </is>
      </c>
      <c r="M18" s="2" t="str"/>
      <c r="N18" s="2" t="str"/>
      <c r="O18" s="2" t="str"/>
      <c r="P18" s="2" t="str"/>
      <c r="Q18" s="2" t="str"/>
      <c r="R18" s="2" t="str"/>
      <c r="S18" s="2" t="n">
        <v>1643</v>
      </c>
      <c r="T18" s="2" t="inlineStr">
        <is>
          <t>Frontend; Backend/API; Mobile; Data/Database</t>
        </is>
      </c>
      <c r="U18" s="2" t="inlineStr">
        <is>
          <t>Healthcare; Technology; Consulting</t>
        </is>
      </c>
      <c r="V18" s="2" t="inlineStr">
        <is>
          <t>C:\Workspace\java\scrape_indeed\soft_dav_part_1\108.html#20873</t>
        </is>
      </c>
      <c r="W18" s="17" t="inlineStr">
        <is>
          <t>Bachelor；2段日期化工作经历；11类软件开发关键词；外部佐证和成果证据较少；技术方向：Frontend、Backend/API、Mobile</t>
        </is>
      </c>
      <c r="X18" s="17" t="inlineStr">
        <is>
          <t>/Users/q/Desktop/Project-Security/data/software_developer_selection/02_diverse_sample_20/17__weak__20595__Software_Developer.txt</t>
        </is>
      </c>
    </row>
    <row r="19" ht="62" customHeight="1">
      <c r="A19" s="2" t="n">
        <v>18</v>
      </c>
      <c r="B19" s="2" t="inlineStr">
        <is>
          <t>21737</t>
        </is>
      </c>
      <c r="C19" s="2" t="inlineStr">
        <is>
          <t>Software Developer</t>
        </is>
      </c>
      <c r="D19" s="2">
        <f>IF(E19&gt;='Scoring Rules'!$B$3,"强",IF(E19&gt;='Scoring Rules'!$B$4,"中","弱"))</f>
        <v/>
      </c>
      <c r="E19" s="126">
        <f>MIN(100,H19+IF(I19&gt;=5,'Scoring Rules'!$B$16,IF(I19&gt;=3,'Scoring Rules'!$B$17,IF(I19&gt;=1,'Scoring Rules'!$B$18,'Scoring Rules'!$B$19)))+IF(L19="是",'Scoring Rules'!$B$22,0)+MIN(J19*'Scoring Rules'!$B$23,'Scoring Rules'!$B$24)+IF(M19="是",'Scoring Rules'!$B$25,0)+MIN((IF(K19="",0,LEN(K19)-LEN(SUBSTITUTE(K19,";",""))+1))*'Scoring Rules'!$B$26,'Scoring Rules'!$B$27)+IF(N19="是",'Scoring Rules'!$B$28,0)+IF(O19="是",'Scoring Rules'!$B$29,0)+IF(P19="是",'Scoring Rules'!$B$30,0)+IF(Q19="是",'Scoring Rules'!$B$31,0)+IF(R19="是",'Scoring Rules'!$B$32,0)+IF(S19&gt;=8000,'Scoring Rules'!$B$35,IF(S19&gt;=4000,'Scoring Rules'!$B$36,IF(S19&gt;=2000,'Scoring Rules'!$B$37,'Scoring Rules'!$B$38))))</f>
        <v/>
      </c>
      <c r="F19" s="2" t="inlineStr">
        <is>
          <t>Standard</t>
        </is>
      </c>
      <c r="G19" s="2" t="inlineStr">
        <is>
          <t>Unspecified</t>
        </is>
      </c>
      <c r="H19" s="2" t="n">
        <v>2</v>
      </c>
      <c r="I19" s="2" t="n">
        <v>6</v>
      </c>
      <c r="J19" s="2" t="n">
        <v>12</v>
      </c>
      <c r="K19" s="2" t="str"/>
      <c r="L19" s="2" t="inlineStr">
        <is>
          <t>是</t>
        </is>
      </c>
      <c r="M19" s="2" t="str"/>
      <c r="N19" s="2" t="str"/>
      <c r="O19" s="2" t="str"/>
      <c r="P19" s="2" t="str"/>
      <c r="Q19" s="2" t="inlineStr">
        <is>
          <t>是</t>
        </is>
      </c>
      <c r="R19" s="2" t="str"/>
      <c r="S19" s="2" t="n">
        <v>5125</v>
      </c>
      <c r="T19" s="2" t="inlineStr">
        <is>
          <t>Backend/API; Cloud/DevOps; Embedded/Systems; Testing/Automation</t>
        </is>
      </c>
      <c r="U19" s="2" t="inlineStr">
        <is>
          <t>Technology; Consulting; Retail/E-commerce</t>
        </is>
      </c>
      <c r="V19" s="2" t="inlineStr">
        <is>
          <t>C:\Workspace\java\scrape_indeed\soft_dav_part_1\2175.html#22090</t>
        </is>
      </c>
      <c r="W19" s="17" t="inlineStr">
        <is>
          <t>教育层次未明确；6段日期化工作经历；12类软件开发关键词；外部佐证和成果证据较少；技术方向：Backend/API、Cloud/DevOps、Embedded/Systems</t>
        </is>
      </c>
      <c r="X19" s="17" t="inlineStr">
        <is>
          <t>/Users/q/Desktop/Project-Security/data/software_developer_selection/02_diverse_sample_20/18__medium__21737__Software_Developer.txt</t>
        </is>
      </c>
    </row>
    <row r="20" ht="62" customHeight="1">
      <c r="A20" s="2" t="n">
        <v>19</v>
      </c>
      <c r="B20" s="2" t="inlineStr">
        <is>
          <t>21131</t>
        </is>
      </c>
      <c r="C20" s="2" t="inlineStr">
        <is>
          <t>Software Developer</t>
        </is>
      </c>
      <c r="D20" s="2">
        <f>IF(E20&gt;='Scoring Rules'!$B$3,"强",IF(E20&gt;='Scoring Rules'!$B$4,"中","弱"))</f>
        <v/>
      </c>
      <c r="E20" s="126">
        <f>MIN(100,H20+IF(I20&gt;=5,'Scoring Rules'!$B$16,IF(I20&gt;=3,'Scoring Rules'!$B$17,IF(I20&gt;=1,'Scoring Rules'!$B$18,'Scoring Rules'!$B$19)))+IF(L20="是",'Scoring Rules'!$B$22,0)+MIN(J20*'Scoring Rules'!$B$23,'Scoring Rules'!$B$24)+IF(M20="是",'Scoring Rules'!$B$25,0)+MIN((IF(K20="",0,LEN(K20)-LEN(SUBSTITUTE(K20,";",""))+1))*'Scoring Rules'!$B$26,'Scoring Rules'!$B$27)+IF(N20="是",'Scoring Rules'!$B$28,0)+IF(O20="是",'Scoring Rules'!$B$29,0)+IF(P20="是",'Scoring Rules'!$B$30,0)+IF(Q20="是",'Scoring Rules'!$B$31,0)+IF(R20="是",'Scoring Rules'!$B$32,0)+IF(S20&gt;=8000,'Scoring Rules'!$B$35,IF(S20&gt;=4000,'Scoring Rules'!$B$36,IF(S20&gt;=2000,'Scoring Rules'!$B$37,'Scoring Rules'!$B$38))))</f>
        <v/>
      </c>
      <c r="F20" s="2" t="inlineStr">
        <is>
          <t>Standard</t>
        </is>
      </c>
      <c r="G20" s="2" t="inlineStr">
        <is>
          <t>Master</t>
        </is>
      </c>
      <c r="H20" s="2" t="n">
        <v>16</v>
      </c>
      <c r="I20" s="2" t="n">
        <v>4</v>
      </c>
      <c r="J20" s="2" t="n">
        <v>28</v>
      </c>
      <c r="K20" s="2" t="inlineStr">
        <is>
          <t>AWS</t>
        </is>
      </c>
      <c r="L20" s="2" t="inlineStr">
        <is>
          <t>是</t>
        </is>
      </c>
      <c r="M20" s="2" t="str"/>
      <c r="N20" s="2" t="str"/>
      <c r="O20" s="2" t="str"/>
      <c r="P20" s="2" t="inlineStr">
        <is>
          <t>是</t>
        </is>
      </c>
      <c r="Q20" s="2" t="str"/>
      <c r="R20" s="2" t="inlineStr">
        <is>
          <t>是</t>
        </is>
      </c>
      <c r="S20" s="2" t="n">
        <v>6480</v>
      </c>
      <c r="T20" s="2" t="inlineStr">
        <is>
          <t>Frontend; Backend/API; Mobile; Data/Database; Cloud/DevOps; Testing/Automation</t>
        </is>
      </c>
      <c r="U20" s="2" t="inlineStr">
        <is>
          <t>Finance/Banking; Technology; Education/Research</t>
        </is>
      </c>
      <c r="V20" s="2" t="inlineStr">
        <is>
          <t>C:\Workspace\java\scrape_indeed\soft_dav_part_1\162.html#21473</t>
        </is>
      </c>
      <c r="W20" s="17" t="inlineStr">
        <is>
          <t>Master；4段日期化工作经历；28类软件开发关键词；相关证书：AWS；有个人链接；有项目/GitHub/Open Source信息；技术方向：Frontend、Backend/API、Mobile</t>
        </is>
      </c>
      <c r="X20" s="17" t="inlineStr">
        <is>
          <t>/Users/q/Desktop/Project-Security/data/software_developer_selection/02_diverse_sample_20/19__strong__21131__Software_Developer.txt</t>
        </is>
      </c>
    </row>
    <row r="21" ht="62" customHeight="1">
      <c r="A21" s="2" t="n">
        <v>20</v>
      </c>
      <c r="B21" s="2" t="inlineStr">
        <is>
          <t>22235</t>
        </is>
      </c>
      <c r="C21" s="2" t="inlineStr">
        <is>
          <t>Software Developer</t>
        </is>
      </c>
      <c r="D21" s="2">
        <f>IF(E21&gt;='Scoring Rules'!$B$3,"强",IF(E21&gt;='Scoring Rules'!$B$4,"中","弱"))</f>
        <v/>
      </c>
      <c r="E21" s="126">
        <f>MIN(100,H21+IF(I21&gt;=5,'Scoring Rules'!$B$16,IF(I21&gt;=3,'Scoring Rules'!$B$17,IF(I21&gt;=1,'Scoring Rules'!$B$18,'Scoring Rules'!$B$19)))+IF(L21="是",'Scoring Rules'!$B$22,0)+MIN(J21*'Scoring Rules'!$B$23,'Scoring Rules'!$B$24)+IF(M21="是",'Scoring Rules'!$B$25,0)+MIN((IF(K21="",0,LEN(K21)-LEN(SUBSTITUTE(K21,";",""))+1))*'Scoring Rules'!$B$26,'Scoring Rules'!$B$27)+IF(N21="是",'Scoring Rules'!$B$28,0)+IF(O21="是",'Scoring Rules'!$B$29,0)+IF(P21="是",'Scoring Rules'!$B$30,0)+IF(Q21="是",'Scoring Rules'!$B$31,0)+IF(R21="是",'Scoring Rules'!$B$32,0)+IF(S21&gt;=8000,'Scoring Rules'!$B$35,IF(S21&gt;=4000,'Scoring Rules'!$B$36,IF(S21&gt;=2000,'Scoring Rules'!$B$37,'Scoring Rules'!$B$38))))</f>
        <v/>
      </c>
      <c r="F21" s="2" t="inlineStr">
        <is>
          <t>Standard</t>
        </is>
      </c>
      <c r="G21" s="2" t="inlineStr">
        <is>
          <t>Bachelor</t>
        </is>
      </c>
      <c r="H21" s="2" t="n">
        <v>12</v>
      </c>
      <c r="I21" s="2" t="n">
        <v>7</v>
      </c>
      <c r="J21" s="2" t="n">
        <v>3</v>
      </c>
      <c r="K21" s="2" t="str"/>
      <c r="L21" s="2" t="inlineStr">
        <is>
          <t>是</t>
        </is>
      </c>
      <c r="M21" s="2" t="str"/>
      <c r="N21" s="2" t="str"/>
      <c r="O21" s="2" t="inlineStr">
        <is>
          <t>是</t>
        </is>
      </c>
      <c r="P21" s="2" t="str"/>
      <c r="Q21" s="2" t="inlineStr">
        <is>
          <t>是</t>
        </is>
      </c>
      <c r="R21" s="2" t="inlineStr">
        <is>
          <t>是</t>
        </is>
      </c>
      <c r="S21" s="2" t="n">
        <v>7304</v>
      </c>
      <c r="T21" s="2" t="inlineStr">
        <is>
          <t>Embedded/Systems; Testing/Automation</t>
        </is>
      </c>
      <c r="U21" s="2" t="inlineStr">
        <is>
          <t>Technology</t>
        </is>
      </c>
      <c r="V21" s="2" t="inlineStr">
        <is>
          <t>C:\Workspace\java\scrape_indeed\soft_dav_part_1\2633.html#22599</t>
        </is>
      </c>
      <c r="W21" s="17" t="inlineStr">
        <is>
          <t>Bachelor；7段日期化工作经历；3类软件开发关键词；有量化成果或明确成就；有项目/GitHub/Open Source信息；技术方向：Embedded/Systems、Testing/Automation</t>
        </is>
      </c>
      <c r="X21" s="17" t="inlineStr">
        <is>
          <t>/Users/q/Desktop/Project-Security/data/software_developer_selection/02_diverse_sample_20/20__medium__22235__Software_Developer.txt</t>
        </is>
      </c>
    </row>
  </sheetData>
  <conditionalFormatting sqref="E2:E21">
    <cfRule type="colorScale" priority="1">
      <colorScale>
        <cfvo type="min"/>
        <cfvo type="percentile" val="50"/>
        <cfvo type="max"/>
        <color rgb="FFFCA5A5"/>
        <color rgb="FFFDE68A"/>
        <color rgb="FF86EFAC"/>
      </colorScale>
    </cfRule>
  </conditionalFormatting>
  <conditionalFormatting sqref="D2:D21">
    <cfRule type="containsText" priority="2" operator="containsText" dxfId="0" text="强"/>
    <cfRule type="containsText" priority="3" operator="containsText" dxfId="1" text="中"/>
    <cfRule type="containsText" priority="4" operator="containsText" dxfId="2" text="弱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58" customWidth="1" min="3" max="3"/>
  </cols>
  <sheetData>
    <row r="1" ht="32" customHeight="1">
      <c r="A1" s="19" t="inlineStr">
        <is>
          <t>Software Developer 内容证据评分规则（不代表候选人真实能力或录用结论）</t>
        </is>
      </c>
    </row>
    <row r="2">
      <c r="A2" s="21" t="inlineStr">
        <is>
          <t>类别</t>
        </is>
      </c>
      <c r="B2" s="21" t="inlineStr">
        <is>
          <t>参数/分值</t>
        </is>
      </c>
      <c r="C2" s="24" t="inlineStr">
        <is>
          <t>说明</t>
        </is>
      </c>
    </row>
    <row r="3">
      <c r="A3" s="1" t="inlineStr">
        <is>
          <t>强档阈值</t>
        </is>
      </c>
      <c r="B3" s="1" t="n">
        <v>65</v>
      </c>
      <c r="C3" s="25" t="inlineStr">
        <is>
          <t>内容证据分不低于该值</t>
        </is>
      </c>
    </row>
    <row r="4">
      <c r="A4" s="1" t="inlineStr">
        <is>
          <t>中档阈值</t>
        </is>
      </c>
      <c r="B4" s="1" t="n">
        <v>45</v>
      </c>
      <c r="C4" s="25" t="inlineStr">
        <is>
          <t>低于强档且不低于该值</t>
        </is>
      </c>
    </row>
    <row r="5">
      <c r="A5" s="1" t="str"/>
      <c r="B5" s="1" t="n"/>
      <c r="C5" s="25" t="str"/>
    </row>
    <row r="6">
      <c r="A6" s="23" t="inlineStr">
        <is>
          <t>教育层次</t>
        </is>
      </c>
      <c r="B6" s="23" t="inlineStr">
        <is>
          <t>分值</t>
        </is>
      </c>
      <c r="C6" s="26" t="inlineStr">
        <is>
          <t>取教育段可识别的最高学历</t>
        </is>
      </c>
    </row>
    <row r="7">
      <c r="A7" s="1" t="inlineStr">
        <is>
          <t>Doctorate</t>
        </is>
      </c>
      <c r="B7" s="1" t="n">
        <v>18</v>
      </c>
      <c r="C7" s="25" t="str"/>
    </row>
    <row r="8">
      <c r="A8" s="1" t="inlineStr">
        <is>
          <t>Master</t>
        </is>
      </c>
      <c r="B8" s="1" t="n">
        <v>16</v>
      </c>
      <c r="C8" s="25" t="str"/>
    </row>
    <row r="9">
      <c r="A9" s="1" t="inlineStr">
        <is>
          <t>Bachelor</t>
        </is>
      </c>
      <c r="B9" s="1" t="n">
        <v>12</v>
      </c>
      <c r="C9" s="25" t="str"/>
    </row>
    <row r="10">
      <c r="A10" s="1" t="inlineStr">
        <is>
          <t>Associate</t>
        </is>
      </c>
      <c r="B10" s="1" t="n">
        <v>8</v>
      </c>
      <c r="C10" s="25" t="str"/>
    </row>
    <row r="11">
      <c r="A11" s="1" t="inlineStr">
        <is>
          <t>Certificate</t>
        </is>
      </c>
      <c r="B11" s="1" t="n">
        <v>6</v>
      </c>
      <c r="C11" s="25" t="str"/>
    </row>
    <row r="12">
      <c r="A12" s="1" t="inlineStr">
        <is>
          <t>High School</t>
        </is>
      </c>
      <c r="B12" s="1" t="n">
        <v>5</v>
      </c>
      <c r="C12" s="25" t="str"/>
    </row>
    <row r="13">
      <c r="A13" s="1" t="inlineStr">
        <is>
          <t>Unspecified</t>
        </is>
      </c>
      <c r="B13" s="1" t="n">
        <v>2</v>
      </c>
      <c r="C13" s="25" t="inlineStr">
        <is>
          <t>有教育内容但层次未识别；无教育内容为0</t>
        </is>
      </c>
    </row>
    <row r="14">
      <c r="A14" s="1" t="str"/>
      <c r="B14" s="1" t="n"/>
      <c r="C14" s="25" t="str"/>
    </row>
    <row r="15">
      <c r="A15" s="23" t="inlineStr">
        <is>
          <t>工作经历</t>
        </is>
      </c>
      <c r="B15" s="23" t="inlineStr">
        <is>
          <t>分值</t>
        </is>
      </c>
      <c r="C15" s="26" t="inlineStr">
        <is>
          <t>按可识别日期区间数量</t>
        </is>
      </c>
    </row>
    <row r="16">
      <c r="A16" s="1" t="inlineStr">
        <is>
          <t>5+</t>
        </is>
      </c>
      <c r="B16" s="1" t="n">
        <v>20</v>
      </c>
      <c r="C16" s="25" t="str"/>
    </row>
    <row r="17">
      <c r="A17" s="1" t="inlineStr">
        <is>
          <t>3-4</t>
        </is>
      </c>
      <c r="B17" s="1" t="n">
        <v>14</v>
      </c>
      <c r="C17" s="25" t="str"/>
    </row>
    <row r="18">
      <c r="A18" s="1" t="inlineStr">
        <is>
          <t>1-2</t>
        </is>
      </c>
      <c r="B18" s="1" t="n">
        <v>6</v>
      </c>
      <c r="C18" s="25" t="str"/>
    </row>
    <row r="19">
      <c r="A19" s="1" t="inlineStr">
        <is>
          <t>0</t>
        </is>
      </c>
      <c r="B19" s="1" t="n">
        <v>0</v>
      </c>
      <c r="C19" s="25" t="str"/>
    </row>
    <row r="20">
      <c r="A20" s="1" t="str"/>
      <c r="B20" s="1" t="n"/>
      <c r="C20" s="25" t="str"/>
    </row>
    <row r="21">
      <c r="A21" s="23" t="inlineStr">
        <is>
          <t>其他证据</t>
        </is>
      </c>
      <c r="B21" s="23" t="inlineStr">
        <is>
          <t>分值</t>
        </is>
      </c>
      <c r="C21" s="26" t="str"/>
    </row>
    <row r="22">
      <c r="A22" s="1" t="inlineStr">
        <is>
          <t>Skills段</t>
        </is>
      </c>
      <c r="B22" s="1" t="n">
        <v>7</v>
      </c>
      <c r="C22" s="25" t="str"/>
    </row>
    <row r="23">
      <c r="A23" s="1" t="inlineStr">
        <is>
          <t>每类软件开发关键词</t>
        </is>
      </c>
      <c r="B23" s="1" t="n">
        <v>1.25</v>
      </c>
      <c r="C23" s="25" t="str"/>
    </row>
    <row r="24">
      <c r="A24" s="1" t="inlineStr">
        <is>
          <t>关键词分上限</t>
        </is>
      </c>
      <c r="B24" s="1" t="n">
        <v>15</v>
      </c>
      <c r="C24" s="25" t="str"/>
    </row>
    <row r="25">
      <c r="A25" s="1" t="inlineStr">
        <is>
          <t>证书/执照段</t>
        </is>
      </c>
      <c r="B25" s="1" t="n">
        <v>8</v>
      </c>
      <c r="C25" s="25" t="str"/>
    </row>
    <row r="26">
      <c r="A26" s="1" t="inlineStr">
        <is>
          <t>每类明确技术证书</t>
        </is>
      </c>
      <c r="B26" s="1" t="n">
        <v>3</v>
      </c>
      <c r="C26" s="25" t="str"/>
    </row>
    <row r="27">
      <c r="A27" s="1" t="inlineStr">
        <is>
          <t>明确技术证书分上限</t>
        </is>
      </c>
      <c r="B27" s="1" t="n">
        <v>8</v>
      </c>
      <c r="C27" s="25" t="str"/>
    </row>
    <row r="28">
      <c r="A28" s="1" t="inlineStr">
        <is>
          <t>Awards/Honors</t>
        </is>
      </c>
      <c r="B28" s="1" t="n">
        <v>8</v>
      </c>
      <c r="C28" s="25" t="inlineStr">
        <is>
          <t>仅统计教育段之后的明确章节标题</t>
        </is>
      </c>
    </row>
    <row r="29">
      <c r="A29" s="1" t="inlineStr">
        <is>
          <t>量化成果/明确成就</t>
        </is>
      </c>
      <c r="B29" s="1" t="n">
        <v>10</v>
      </c>
      <c r="C29" s="25" t="inlineStr">
        <is>
          <t>成果动词与数字/比例/规模共同出现，或明确成就标题</t>
        </is>
      </c>
    </row>
    <row r="30">
      <c r="A30" s="1" t="inlineStr">
        <is>
          <t>个人链接</t>
        </is>
      </c>
      <c r="B30" s="1" t="n">
        <v>4</v>
      </c>
      <c r="C30" s="25" t="inlineStr">
        <is>
          <t>LinkedIn、GitHub或Links段</t>
        </is>
      </c>
    </row>
    <row r="31">
      <c r="A31" s="1" t="inlineStr">
        <is>
          <t>Additional Information</t>
        </is>
      </c>
      <c r="B31" s="1" t="n">
        <v>2</v>
      </c>
      <c r="C31" s="25" t="str"/>
    </row>
    <row r="32">
      <c r="A32" s="1" t="inlineStr">
        <is>
          <t>项目/GitHub/Open Source</t>
        </is>
      </c>
      <c r="B32" s="1" t="n">
        <v>4</v>
      </c>
      <c r="C32" s="25" t="str"/>
    </row>
    <row r="33">
      <c r="A33" s="1" t="str"/>
      <c r="B33" s="1" t="n"/>
      <c r="C33" s="25" t="str"/>
    </row>
    <row r="34">
      <c r="A34" s="23" t="inlineStr">
        <is>
          <t>正文长度</t>
        </is>
      </c>
      <c r="B34" s="23" t="inlineStr">
        <is>
          <t>分值</t>
        </is>
      </c>
      <c r="C34" s="26" t="inlineStr">
        <is>
          <t>字符数</t>
        </is>
      </c>
    </row>
    <row r="35">
      <c r="A35" s="1" t="inlineStr">
        <is>
          <t>&gt;=8000</t>
        </is>
      </c>
      <c r="B35" s="1" t="n">
        <v>8</v>
      </c>
      <c r="C35" s="25" t="str"/>
    </row>
    <row r="36">
      <c r="A36" s="1" t="inlineStr">
        <is>
          <t>4000-7999</t>
        </is>
      </c>
      <c r="B36" s="1" t="n">
        <v>6</v>
      </c>
      <c r="C36" s="25" t="str"/>
    </row>
    <row r="37">
      <c r="A37" s="1" t="inlineStr">
        <is>
          <t>2000-3999</t>
        </is>
      </c>
      <c r="B37" s="1" t="n">
        <v>4</v>
      </c>
      <c r="C37" s="25" t="str"/>
    </row>
    <row r="38">
      <c r="A38" s="1" t="inlineStr">
        <is>
          <t>&lt;2000</t>
        </is>
      </c>
      <c r="B38" s="1" t="n">
        <v>2</v>
      </c>
      <c r="C38" s="25" t="str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2026-07-24T12:34:16Z</dcterms:created>
  <dcterms:modified xsi:type="dcterms:W3CDTF">2026-07-24T12:34:16Z</dcterms:modified>
</cp:coreProperties>
</file>